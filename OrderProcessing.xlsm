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pivotTables/pivotTable2.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D8452FA0-52B4-48FB-8C32-7770ADB2A0FF}" xr6:coauthVersionLast="47" xr6:coauthVersionMax="47" xr10:uidLastSave="{00000000-0000-0000-0000-000000000000}"/>
  <bookViews>
    <workbookView xWindow="-120" yWindow="-120" windowWidth="20730" windowHeight="11040" tabRatio="770" activeTab="3" xr2:uid="{00000000-000D-0000-FFFF-FFFF00000000}"/>
  </bookViews>
  <sheets>
    <sheet name="Master List" sheetId="2" r:id="rId1"/>
    <sheet name="Order" sheetId="10" r:id="rId2"/>
    <sheet name="OrderPrint" sheetId="21" r:id="rId3"/>
    <sheet name="OrderDatabase" sheetId="22" r:id="rId4"/>
    <sheet name="ShipDatabase" sheetId="23" r:id="rId5"/>
    <sheet name="CheckPrint" sheetId="19" state="hidden" r:id="rId6"/>
    <sheet name="Check" sheetId="9" r:id="rId7"/>
    <sheet name="Label" sheetId="8" r:id="rId8"/>
    <sheet name="On Deck" sheetId="11" r:id="rId9"/>
    <sheet name="Items on Deck" sheetId="16" r:id="rId10"/>
    <sheet name="Daily" sheetId="13" r:id="rId11"/>
    <sheet name="Needs" sheetId="15" r:id="rId12"/>
    <sheet name="Week" sheetId="17" r:id="rId13"/>
  </sheets>
  <definedNames>
    <definedName name="_xlnm._FilterDatabase" localSheetId="10" hidden="1">Daily!$A$1:$D$239</definedName>
    <definedName name="_xlnm._FilterDatabase" localSheetId="0" hidden="1">'Master List'!$B$2:$E$819</definedName>
    <definedName name="_xlnm._FilterDatabase" localSheetId="8" hidden="1">'On Deck'!$A$1:$D$1</definedName>
    <definedName name="_xlnm.Extract" localSheetId="8">'On Deck'!$F$1</definedName>
  </definedNames>
  <calcPr calcId="191028"/>
  <pivotCaches>
    <pivotCache cacheId="0" r:id="rId14"/>
    <pivotCache cacheId="1" r:id="rId15"/>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5" l="1"/>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 r="D12" i="9"/>
  <c r="D5" i="9"/>
  <c r="D6" i="9"/>
  <c r="D7" i="9"/>
  <c r="D8" i="9"/>
  <c r="D9" i="9"/>
  <c r="D10" i="9"/>
  <c r="D11" i="9"/>
  <c r="D13" i="9"/>
  <c r="D26" i="9"/>
  <c r="D24" i="9"/>
  <c r="D15" i="9"/>
  <c r="D14" i="9"/>
  <c r="D16" i="9"/>
  <c r="D17" i="9"/>
  <c r="D18" i="9"/>
  <c r="D19" i="9"/>
  <c r="D20" i="9"/>
  <c r="D21" i="9"/>
  <c r="D22" i="9"/>
  <c r="D23" i="9"/>
  <c r="D25" i="9"/>
  <c r="D27" i="9"/>
  <c r="D28" i="9"/>
  <c r="D29" i="9"/>
  <c r="D30" i="9"/>
  <c r="D31" i="9"/>
  <c r="D32" i="9"/>
  <c r="D33" i="9"/>
  <c r="D4"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alcChain>
</file>

<file path=xl/sharedStrings.xml><?xml version="1.0" encoding="utf-8"?>
<sst xmlns="http://schemas.openxmlformats.org/spreadsheetml/2006/main" count="5541" uniqueCount="1409">
  <si>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</si>
  <si>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</si>
  <si>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</si>
  <si>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</si>
  <si>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</si>
  <si>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</si>
  <si>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</si>
  <si>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</si>
  <si>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</si>
  <si>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</si>
  <si>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</si>
  <si>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</si>
  <si>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</si>
  <si>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</si>
  <si>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</si>
  <si>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</si>
  <si>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</si>
  <si>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</si>
  <si>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</si>
  <si>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</si>
  <si>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</si>
  <si>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</si>
  <si>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</si>
  <si>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</si>
  <si>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</si>
  <si>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</si>
  <si>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</si>
  <si>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</si>
  <si>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</si>
  <si>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</si>
  <si>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</si>
  <si>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</si>
  <si>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</si>
  <si>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</si>
  <si>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</si>
  <si>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</si>
  <si>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</si>
  <si>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</si>
  <si>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</si>
  <si>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</si>
  <si>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</si>
  <si>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</si>
  <si>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</si>
  <si>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</si>
  <si>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</si>
  <si>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</si>
  <si>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</si>
  <si>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</si>
  <si>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</si>
  <si>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</si>
  <si>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</si>
  <si>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</si>
  <si>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</si>
  <si>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</si>
  <si>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</si>
  <si>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</si>
  <si>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</si>
  <si>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</si>
  <si>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</si>
  <si>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</si>
  <si>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</si>
  <si>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</si>
  <si>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</si>
  <si>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</si>
  <si>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</si>
  <si>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</si>
  <si>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</si>
  <si>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</si>
  <si>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</si>
  <si>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</si>
  <si>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</si>
  <si>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</si>
  <si>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</si>
  <si>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</si>
  <si>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</si>
  <si>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</si>
  <si>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</si>
  <si>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</si>
  <si>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</si>
  <si>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</si>
  <si>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</si>
  <si>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</si>
  <si>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</si>
  <si>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</si>
  <si>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</si>
  <si>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</si>
  <si>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</si>
  <si>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</si>
  <si>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</si>
  <si>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</si>
  <si>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</si>
  <si>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</si>
  <si>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</si>
  <si>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</si>
  <si>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</si>
  <si>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</si>
  <si>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</si>
  <si>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</si>
  <si>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</si>
  <si>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</si>
  <si>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</si>
  <si>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</si>
  <si>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</si>
  <si>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</si>
  <si>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</si>
  <si>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</si>
  <si>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</si>
  <si>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</si>
  <si>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</si>
  <si>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</si>
  <si>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</si>
  <si>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</si>
  <si>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</si>
  <si>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</si>
  <si>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</si>
  <si>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</si>
  <si>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</si>
  <si>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</si>
  <si>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</si>
  <si>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</si>
  <si>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</si>
  <si>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</si>
  <si>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</si>
  <si>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</si>
  <si>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</si>
  <si>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</si>
  <si>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</si>
  <si>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</si>
  <si>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</si>
  <si>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</si>
  <si>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</si>
  <si>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</si>
  <si>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</si>
  <si>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</si>
  <si>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</si>
  <si>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</si>
  <si>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</si>
  <si>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</si>
  <si>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</si>
  <si>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</si>
  <si>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</si>
  <si>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</si>
  <si>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</si>
  <si>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</si>
  <si>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</si>
  <si>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</si>
  <si>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</si>
  <si>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</si>
  <si>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</si>
  <si>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</si>
  <si>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</si>
  <si>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</si>
  <si>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</si>
  <si>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</si>
  <si>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</si>
  <si>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</si>
  <si>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</si>
  <si>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</si>
  <si>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</si>
  <si>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</si>
  <si>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</si>
  <si>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</si>
  <si>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</si>
  <si>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</si>
  <si>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</si>
  <si>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</si>
  <si>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</si>
  <si>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</si>
  <si>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</si>
  <si>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</si>
  <si>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</si>
  <si>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</si>
  <si>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</si>
  <si>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</si>
  <si>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</si>
  <si>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</si>
  <si>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</si>
  <si>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</si>
  <si>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</si>
  <si>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</si>
  <si>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</si>
  <si>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</si>
  <si>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</si>
  <si>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</si>
  <si>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</si>
  <si>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</si>
  <si>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</si>
  <si>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</si>
  <si>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</si>
  <si>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</si>
  <si>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</si>
  <si>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</si>
  <si>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</si>
  <si>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</si>
  <si>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</si>
  <si>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</si>
  <si>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</si>
  <si>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</si>
  <si>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</si>
  <si>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</si>
  <si>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</si>
  <si>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</si>
  <si>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</si>
  <si>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</si>
  <si>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</si>
  <si>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</si>
  <si>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</si>
  <si>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</si>
  <si>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</si>
  <si>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</si>
  <si>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</si>
  <si>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</si>
  <si>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</si>
  <si>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</si>
  <si>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</si>
  <si>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</si>
  <si>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</si>
  <si>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</si>
  <si>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</si>
  <si>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</si>
  <si>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</si>
  <si>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</si>
  <si>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</si>
  <si>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</si>
  <si>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</si>
  <si>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</si>
  <si>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</si>
  <si>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</si>
  <si>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</si>
  <si>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</si>
  <si>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</si>
  <si>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</si>
  <si>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</si>
  <si>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</si>
  <si>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</si>
  <si>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</si>
  <si>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</si>
  <si>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</si>
  <si>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</si>
  <si>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</si>
  <si>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</si>
  <si>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</si>
  <si>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</si>
  <si>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</si>
  <si>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</si>
  <si>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</si>
  <si>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</si>
  <si>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</si>
  <si>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</si>
  <si>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</si>
  <si>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</si>
  <si>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</si>
  <si>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</si>
  <si>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</si>
  <si>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</si>
  <si>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</si>
  <si>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</si>
  <si>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</si>
  <si>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</si>
  <si>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</si>
  <si>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</si>
  <si>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</si>
  <si>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</si>
  <si>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</si>
  <si>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</si>
  <si>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</si>
  <si>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</si>
  <si>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</si>
  <si>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</si>
  <si>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</si>
  <si>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</si>
  <si>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</si>
  <si>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</si>
  <si>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</si>
  <si>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</si>
  <si>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</si>
  <si>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</si>
  <si>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</si>
  <si>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</si>
  <si>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</si>
  <si>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</si>
  <si>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</si>
  <si>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</si>
  <si>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</si>
  <si>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</si>
  <si>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</si>
  <si>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</si>
  <si>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</si>
  <si>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</si>
  <si>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</si>
  <si>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</si>
  <si>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</si>
  <si>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</si>
  <si>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</si>
  <si>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</si>
  <si>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</si>
  <si>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</si>
  <si>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</si>
  <si>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</si>
  <si>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</si>
  <si>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</si>
  <si>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</si>
  <si>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</si>
  <si>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</si>
  <si>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</si>
  <si>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</si>
  <si>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</si>
  <si>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</si>
  <si>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</si>
  <si>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</si>
  <si>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</si>
  <si>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</si>
  <si>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</si>
  <si>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</si>
  <si>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</si>
  <si>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</si>
  <si>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</si>
  <si>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</si>
  <si>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</si>
  <si>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</si>
  <si>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</si>
  <si>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</si>
  <si>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</si>
  <si>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</si>
  <si>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</si>
  <si>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</si>
  <si>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</si>
  <si>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</si>
  <si>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</si>
  <si>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</si>
  <si>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</si>
  <si>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</si>
  <si>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</si>
  <si>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</si>
  <si>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</si>
  <si>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</si>
  <si>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</si>
  <si>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</si>
  <si>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</si>
  <si>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</si>
  <si>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</si>
  <si>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</si>
  <si>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</si>
  <si>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</si>
  <si>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</si>
  <si>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</si>
  <si>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</si>
  <si>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</si>
  <si>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</si>
  <si>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</si>
  <si>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</si>
  <si>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</si>
  <si>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</si>
  <si>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</si>
  <si>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</si>
  <si>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</si>
  <si>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</si>
  <si>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</si>
  <si>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</si>
  <si>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</si>
  <si>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</si>
  <si>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</si>
  <si>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</si>
  <si>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</si>
  <si>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</si>
  <si>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</si>
  <si>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</si>
  <si>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</si>
  <si>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</si>
  <si>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</si>
  <si>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</si>
  <si>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</si>
  <si>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</si>
  <si>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</si>
  <si>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</si>
  <si>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</si>
  <si>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</si>
  <si>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</si>
  <si>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</si>
  <si>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</si>
  <si>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</si>
  <si>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</si>
  <si>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</si>
  <si>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</si>
  <si>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</si>
  <si>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</si>
  <si>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</si>
  <si>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</si>
  <si>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</si>
  <si>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</si>
  <si>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</si>
  <si>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</si>
  <si>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</si>
  <si>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</si>
  <si>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</si>
  <si>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</si>
  <si>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</si>
  <si>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</si>
  <si>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</si>
  <si>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</si>
  <si>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</si>
  <si>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</si>
  <si>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</si>
  <si>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</si>
  <si>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</si>
  <si>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</si>
  <si>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</si>
  <si>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</si>
  <si>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</si>
  <si>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</si>
  <si>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</si>
  <si>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</si>
  <si>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</si>
  <si>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</si>
  <si>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</si>
  <si>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</si>
  <si>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</si>
  <si>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</si>
  <si>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</si>
  <si>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</si>
  <si>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</si>
  <si>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</si>
  <si>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</si>
  <si>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</si>
  <si>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</si>
  <si>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</si>
  <si>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</si>
  <si>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</si>
  <si>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</si>
  <si>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</si>
  <si>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</si>
  <si>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</si>
  <si>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</si>
  <si>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</si>
  <si>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</si>
  <si>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</si>
  <si>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</si>
  <si>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</si>
  <si>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</si>
  <si>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</si>
  <si>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</si>
  <si>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</si>
  <si>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</si>
  <si>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</si>
  <si>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</si>
  <si>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</si>
  <si>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</si>
  <si>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</si>
  <si>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</si>
  <si>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</si>
  <si>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</si>
  <si>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</si>
  <si>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</si>
  <si>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</si>
  <si>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</si>
  <si>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</si>
  <si>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</si>
  <si>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</si>
  <si>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</si>
  <si>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</si>
  <si>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</si>
  <si>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</si>
  <si>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</si>
  <si>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</si>
  <si>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</si>
  <si>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</si>
  <si>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</si>
  <si>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</si>
  <si>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</si>
  <si>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</si>
  <si>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</si>
  <si>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</si>
  <si>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</si>
  <si>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</si>
  <si>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</si>
  <si>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</si>
  <si>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</si>
  <si>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</si>
  <si>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</si>
  <si>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</si>
  <si>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</si>
  <si>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</si>
  <si>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</si>
  <si>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</si>
  <si>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</si>
  <si>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</si>
  <si>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</si>
  <si>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</si>
  <si>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</si>
  <si>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</si>
  <si>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</si>
  <si>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</si>
  <si>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</si>
  <si>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</si>
  <si>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</si>
  <si>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</si>
  <si>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</si>
  <si>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</si>
  <si>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</si>
  <si>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</si>
  <si>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</si>
  <si>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</si>
  <si>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</si>
  <si>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</si>
  <si>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</si>
  <si>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</si>
  <si>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</si>
  <si>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</si>
  <si>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</si>
  <si>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</si>
  <si>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</si>
  <si>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</si>
  <si>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</si>
  <si>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</si>
  <si>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</si>
  <si>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</si>
  <si>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</si>
  <si>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</si>
  <si>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</si>
  <si>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</si>
  <si>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</si>
  <si>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</si>
  <si>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</si>
  <si>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</si>
  <si>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</si>
  <si>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</si>
  <si>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</si>
  <si>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</si>
  <si>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</si>
  <si>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</si>
  <si>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</si>
  <si>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</si>
  <si>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</si>
  <si>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</si>
  <si>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</si>
  <si>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</si>
  <si>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</si>
  <si>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</si>
  <si>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</si>
  <si>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</si>
  <si>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</si>
  <si>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</si>
  <si>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</si>
  <si>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</si>
  <si>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</si>
  <si>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</si>
  <si>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</si>
  <si>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</si>
  <si>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</si>
  <si>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</si>
  <si>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</si>
  <si>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</si>
  <si>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</si>
  <si>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</si>
  <si>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</si>
  <si>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</si>
  <si>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</si>
  <si>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</si>
  <si>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</si>
  <si>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</si>
  <si>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</si>
  <si>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</si>
  <si>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</si>
  <si>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</si>
  <si>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</si>
  <si>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</si>
  <si>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</si>
  <si>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</si>
  <si>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</si>
  <si>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</si>
  <si>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</si>
  <si>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</si>
  <si>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</si>
  <si>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</si>
  <si>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</si>
  <si>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</si>
  <si>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</si>
  <si>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</si>
  <si>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</si>
  <si>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</si>
  <si>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</si>
  <si>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</si>
  <si>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</si>
  <si>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</si>
  <si>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</si>
  <si>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</si>
  <si>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</si>
  <si>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</si>
  <si>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</si>
  <si>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</si>
  <si>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</si>
  <si>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</si>
  <si>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</si>
  <si>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</si>
  <si>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</si>
  <si>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</si>
  <si>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</si>
  <si>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</si>
  <si>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</si>
  <si>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</si>
  <si>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</si>
  <si>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</si>
  <si>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</si>
  <si>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</si>
  <si>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</si>
  <si>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</si>
  <si>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</si>
  <si>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</si>
  <si>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</si>
  <si>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</si>
  <si>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</si>
  <si>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</si>
  <si>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</si>
  <si>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</si>
  <si>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</si>
  <si>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</si>
  <si>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</si>
  <si>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</si>
  <si>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</si>
  <si>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</si>
  <si>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</si>
  <si>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</si>
  <si>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</si>
  <si>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</si>
  <si>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</si>
  <si>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</si>
  <si>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</si>
  <si>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</si>
  <si>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</si>
  <si>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</si>
  <si>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</si>
  <si>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</si>
  <si>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</si>
  <si>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</si>
  <si>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</si>
  <si>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</si>
  <si>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</si>
  <si>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</si>
  <si>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</si>
  <si>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</si>
  <si>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</si>
  <si>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</si>
  <si>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</si>
  <si>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</si>
  <si>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</si>
  <si>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</si>
  <si>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</si>
  <si>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</si>
  <si>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</si>
  <si>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</si>
  <si>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</si>
  <si>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</si>
  <si>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</si>
  <si>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</si>
  <si>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</si>
  <si>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</si>
  <si>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</si>
  <si>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</si>
  <si>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</si>
  <si>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</si>
  <si>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</si>
  <si>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</si>
  <si>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</si>
  <si>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</si>
  <si>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</si>
  <si>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</si>
  <si>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</si>
  <si>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</si>
  <si>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</si>
  <si>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</si>
  <si>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</si>
  <si>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</si>
  <si>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</si>
  <si>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</si>
  <si>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</si>
  <si>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</si>
  <si>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</si>
  <si>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</si>
  <si>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</si>
  <si>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</si>
  <si>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</si>
  <si>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</si>
  <si>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</si>
  <si>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</si>
  <si>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</si>
  <si>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</si>
  <si>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</si>
  <si>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</si>
  <si>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</si>
  <si>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</si>
  <si>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</si>
  <si>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</si>
  <si>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</si>
  <si>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</si>
  <si>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</si>
  <si>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</si>
  <si>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</si>
  <si>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</si>
  <si>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</si>
  <si>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</si>
  <si>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</si>
  <si>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</si>
  <si>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</si>
  <si>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</si>
  <si>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</si>
  <si>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</si>
  <si>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</si>
  <si>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</si>
  <si>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</si>
  <si>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</si>
  <si>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</si>
  <si>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</si>
  <si>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</si>
  <si>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</si>
  <si>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</si>
  <si>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</si>
  <si>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</si>
  <si>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</si>
  <si>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</si>
  <si>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</si>
  <si>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</si>
  <si>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</si>
  <si>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</si>
  <si>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</si>
  <si>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</si>
  <si>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</si>
  <si>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</si>
  <si>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</si>
  <si>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</si>
  <si>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</si>
  <si>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</si>
  <si>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</si>
  <si>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</si>
  <si>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</si>
  <si>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</si>
  <si>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</si>
  <si>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</si>
  <si>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</si>
  <si>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</si>
  <si>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</si>
  <si>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</si>
  <si>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</si>
  <si>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</si>
  <si>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</si>
  <si>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</si>
  <si>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</si>
  <si>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</si>
  <si>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</si>
  <si>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</si>
  <si>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</si>
  <si>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</si>
  <si>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</si>
  <si>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</si>
  <si>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</si>
  <si>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</si>
  <si>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</si>
  <si>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</si>
  <si>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</si>
  <si>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</si>
  <si>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</si>
  <si>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</si>
  <si>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</si>
  <si>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</si>
  <si>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</si>
  <si>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</si>
  <si>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</si>
  <si>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</si>
  <si>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</si>
  <si>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</si>
  <si>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</si>
  <si>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</si>
  <si>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</si>
  <si>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</si>
  <si>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</si>
  <si>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</si>
  <si>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</si>
  <si>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</si>
  <si>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</si>
  <si>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</si>
  <si>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</si>
  <si>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</si>
  <si>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</si>
  <si>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</si>
  <si>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</si>
  <si>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</si>
  <si>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</si>
  <si>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</si>
  <si>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</si>
  <si>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</si>
  <si>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</si>
  <si>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</si>
  <si>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</si>
  <si>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</si>
  <si>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</si>
  <si>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</si>
  <si>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</si>
  <si>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</si>
  <si>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</si>
  <si>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</si>
  <si>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</si>
  <si>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</si>
  <si>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</si>
  <si>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</si>
  <si>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</si>
  <si>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</si>
  <si>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</si>
  <si>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</si>
  <si>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</si>
  <si>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</si>
  <si>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</si>
  <si>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</si>
  <si>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</si>
  <si>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</si>
  <si>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</si>
  <si>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</si>
  <si>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</si>
  <si>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</si>
  <si>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</si>
  <si>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</si>
  <si>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</si>
  <si>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</si>
  <si>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</si>
  <si>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</si>
  <si>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</si>
  <si>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</si>
  <si>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</si>
  <si>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</si>
  <si>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</si>
  <si>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</si>
  <si>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</si>
  <si>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</si>
  <si>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</si>
  <si>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</si>
  <si>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</si>
  <si>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</si>
  <si>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</si>
  <si>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</si>
  <si>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</si>
  <si>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</si>
  <si>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</si>
  <si>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</si>
  <si>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</si>
  <si>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</si>
  <si>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</si>
  <si>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</si>
  <si>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</si>
  <si>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</si>
  <si>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</si>
  <si>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</si>
  <si>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</si>
  <si>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</si>
  <si>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</si>
  <si>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</si>
  <si>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</si>
  <si>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</si>
  <si>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</si>
  <si>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</si>
  <si>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</si>
  <si>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</si>
  <si>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</si>
  <si>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</si>
  <si>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</si>
  <si>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</si>
  <si>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</si>
  <si>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</si>
  <si>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</si>
  <si>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</si>
  <si>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</si>
  <si>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</si>
  <si>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</si>
  <si>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</si>
  <si>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</si>
  <si>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</si>
  <si>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</si>
  <si>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</si>
  <si>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</si>
  <si>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</si>
  <si>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</si>
  <si>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</si>
  <si>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</si>
  <si>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</si>
  <si>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</si>
  <si>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</si>
  <si>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</si>
  <si>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</si>
  <si>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</si>
  <si>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</si>
  <si>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</si>
  <si>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</si>
  <si>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</si>
  <si>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</si>
  <si>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</si>
  <si>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</si>
  <si>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</si>
  <si>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</si>
  <si>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</si>
  <si>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</si>
  <si>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</si>
  <si>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</si>
  <si>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</si>
  <si>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</si>
  <si>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</si>
  <si>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</si>
  <si>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</si>
  <si>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</si>
  <si>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</si>
  <si>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</si>
  <si>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</si>
  <si>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</si>
  <si>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</si>
  <si>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</si>
  <si>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</si>
  <si>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</si>
  <si>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</si>
  <si>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</si>
  <si>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</si>
  <si>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</si>
  <si>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</si>
  <si>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</si>
  <si>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</si>
  <si>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</si>
  <si>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</si>
  <si>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</si>
  <si>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</si>
  <si>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</si>
  <si>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</si>
  <si>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</si>
  <si>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</si>
  <si>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</si>
  <si>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</si>
  <si>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</si>
  <si>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</si>
  <si>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</si>
  <si>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</si>
  <si>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</si>
  <si>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</si>
  <si>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</si>
  <si>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</si>
  <si>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</si>
  <si>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</si>
  <si>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</si>
  <si>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</si>
  <si>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</si>
  <si>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</si>
  <si>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</si>
  <si>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</si>
  <si>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</si>
  <si>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</si>
  <si>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</si>
  <si>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</si>
  <si>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</si>
  <si>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</si>
  <si>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</si>
  <si>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</si>
  <si>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</si>
  <si>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</si>
  <si>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</si>
  <si>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</si>
  <si>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</si>
  <si>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</si>
  <si>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</si>
  <si>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</si>
  <si>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</si>
  <si>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</si>
  <si>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</si>
  <si>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</si>
  <si>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</si>
  <si>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</si>
  <si>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</si>
  <si>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</si>
  <si>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</si>
  <si>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</si>
  <si>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</si>
  <si>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</si>
  <si>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</si>
  <si>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</si>
  <si>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</si>
  <si>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</si>
  <si>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</si>
  <si>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</si>
  <si>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</si>
  <si>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</si>
  <si>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</si>
  <si>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</si>
  <si>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</si>
  <si>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</si>
  <si>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</si>
  <si>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</si>
  <si>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</si>
  <si>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</si>
  <si>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</si>
  <si>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</si>
  <si>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</si>
  <si>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</si>
  <si>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</si>
  <si>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</si>
  <si>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</si>
  <si>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</si>
  <si>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</si>
  <si>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</si>
  <si>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</si>
  <si>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</si>
  <si>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</si>
  <si>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</si>
  <si>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</si>
  <si>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</si>
  <si>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</si>
  <si>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</si>
  <si>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</si>
  <si>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</si>
  <si>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</si>
  <si>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</si>
  <si>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</si>
  <si>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</si>
  <si>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</si>
  <si>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</si>
  <si>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</si>
  <si>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</si>
  <si>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</si>
  <si>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</si>
  <si>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</si>
  <si>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</si>
  <si>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</si>
  <si>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</si>
  <si>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</si>
  <si>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</si>
  <si>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</si>
  <si>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</si>
  <si>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</si>
  <si>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</si>
  <si>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</si>
  <si>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</si>
  <si>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</si>
  <si>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</si>
  <si>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</si>
  <si>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</si>
  <si>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</si>
  <si>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</si>
  <si>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</si>
  <si>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</si>
  <si>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</si>
  <si>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</si>
  <si>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</si>
  <si>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</si>
  <si>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</si>
  <si>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</si>
  <si>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</si>
  <si>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</si>
  <si>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</si>
  <si>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</si>
  <si>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</si>
  <si>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</si>
  <si>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</si>
  <si>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</si>
  <si>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</si>
  <si>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</si>
  <si>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</si>
  <si>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</si>
  <si>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</si>
  <si>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</si>
  <si>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</si>
  <si>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</si>
  <si>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</si>
  <si>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</si>
  <si>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</si>
  <si>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</si>
  <si>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</si>
  <si>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</si>
  <si>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</si>
  <si>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</si>
  <si>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</si>
  <si>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</si>
  <si>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</si>
  <si>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</si>
  <si>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</si>
  <si>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</si>
  <si>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</si>
  <si>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</si>
  <si>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</si>
  <si>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</si>
  <si>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</si>
  <si>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</si>
  <si>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</si>
  <si>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</si>
  <si>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</si>
  <si>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</si>
  <si>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</si>
  <si>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</si>
  <si>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</si>
  <si>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</si>
  <si>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</si>
  <si>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</si>
  <si>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</si>
  <si>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</si>
  <si>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</si>
  <si>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</si>
  <si>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</si>
  <si>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</si>
  <si>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</si>
  <si>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</si>
  <si>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</si>
  <si>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</si>
  <si>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</si>
  <si>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</si>
  <si>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</si>
  <si>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</si>
  <si>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</si>
  <si>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</si>
  <si>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</si>
  <si>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</si>
  <si>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</si>
  <si>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</si>
  <si>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</si>
  <si>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</si>
  <si>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</si>
  <si>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</si>
  <si>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</si>
  <si>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</si>
  <si>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</si>
  <si>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</si>
  <si>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</si>
  <si>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</si>
  <si>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</si>
  <si>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</si>
  <si>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</si>
  <si>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</si>
  <si>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</si>
  <si>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</si>
  <si>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</si>
  <si>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</si>
  <si>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</si>
  <si>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</si>
  <si>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</si>
  <si>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</si>
  <si>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</si>
  <si>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</si>
  <si>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</si>
  <si>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</si>
  <si>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</si>
  <si>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</si>
  <si>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</si>
  <si>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</si>
  <si>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</si>
  <si>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</si>
  <si>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</si>
  <si>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</si>
  <si>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</si>
  <si>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</si>
  <si>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</si>
  <si>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</si>
  <si>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</si>
  <si>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</si>
  <si>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</si>
  <si>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</si>
  <si>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</si>
  <si>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</si>
  <si>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</si>
  <si>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</si>
  <si>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</si>
  <si>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</si>
  <si>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</si>
  <si>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</si>
  <si>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</si>
  <si>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</si>
  <si>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</si>
  <si>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</si>
  <si>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</si>
  <si>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</si>
  <si>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</si>
  <si>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</si>
  <si>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</si>
  <si>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</si>
  <si>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</si>
  <si>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</si>
  <si>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</si>
  <si>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</si>
  <si>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</si>
  <si>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</si>
  <si>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</si>
  <si>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</si>
  <si>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</si>
  <si>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</si>
  <si>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</si>
  <si>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</si>
  <si>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</si>
  <si>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</si>
  <si>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</si>
  <si>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</si>
  <si>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</si>
  <si>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</si>
  <si>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</si>
  <si>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</si>
  <si>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</si>
  <si>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</si>
  <si>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</si>
  <si>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</si>
  <si>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Ship Name</t>
  </si>
  <si>
    <t>Item</t>
  </si>
  <si>
    <t>Row Labels</t>
  </si>
  <si>
    <t/>
  </si>
  <si>
    <t>Qty</t>
  </si>
  <si>
    <t>Meas</t>
  </si>
  <si>
    <t>SAVORY SPINACH 12/20 OZ</t>
  </si>
  <si>
    <t>qty</t>
  </si>
  <si>
    <t>meas</t>
  </si>
  <si>
    <t>item</t>
  </si>
  <si>
    <t>ship</t>
  </si>
  <si>
    <t>ICEBERG LETTUCE 40 LB BOX</t>
  </si>
  <si>
    <t>CANTALOUPES 35 LB BOX</t>
  </si>
  <si>
    <t xml:space="preserve"> </t>
  </si>
  <si>
    <t>Items on Deck</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</si>
  <si>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</si>
  <si>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</si>
  <si>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</si>
  <si>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</si>
  <si>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</si>
  <si>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</si>
  <si>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</si>
  <si>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</si>
  <si>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</si>
  <si>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</si>
  <si>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</si>
  <si>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</si>
  <si>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</si>
  <si>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</si>
  <si>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</si>
  <si>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</si>
  <si>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</si>
  <si>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</si>
  <si>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</si>
  <si>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</si>
  <si>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</si>
  <si>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</si>
  <si>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</si>
  <si>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</si>
  <si>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</si>
  <si>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</si>
  <si>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</si>
  <si>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</si>
  <si>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</si>
  <si>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</si>
  <si>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</si>
  <si>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</si>
  <si>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</si>
  <si>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</si>
  <si>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</si>
  <si>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</si>
  <si>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</si>
  <si>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</si>
  <si>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</si>
  <si>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</si>
  <si>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</si>
  <si>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</si>
  <si>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</si>
  <si>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</si>
  <si>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</si>
  <si>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</si>
  <si>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</si>
  <si>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</si>
  <si>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</si>
  <si>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</si>
  <si>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</si>
  <si>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</si>
  <si>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</si>
  <si>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</si>
  <si>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Cases</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</si>
  <si>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</si>
  <si>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</si>
  <si>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</si>
  <si>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</si>
  <si>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</si>
  <si>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</si>
  <si>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</si>
  <si>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</si>
  <si>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</si>
  <si>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</si>
  <si>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</si>
  <si>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</si>
  <si>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</si>
  <si>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</si>
  <si>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</si>
  <si>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</si>
  <si>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</si>
  <si>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</si>
  <si>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</si>
  <si>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</si>
  <si>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</si>
  <si>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</si>
  <si>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</si>
  <si>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</si>
  <si>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</si>
  <si>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</si>
  <si>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</si>
  <si>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</si>
  <si>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</si>
  <si>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MV FIRST MARGAUX-327988</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</si>
  <si>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</si>
  <si>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</si>
  <si>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</si>
  <si>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</si>
  <si>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</si>
  <si>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</si>
  <si>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</si>
  <si>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</si>
  <si>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</si>
  <si>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</si>
  <si>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</si>
  <si>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</si>
  <si>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</si>
  <si>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</si>
  <si>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</si>
  <si>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</si>
  <si>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</si>
  <si>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</si>
  <si>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</si>
  <si>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</si>
  <si>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</si>
  <si>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</si>
  <si>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</si>
  <si>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</si>
  <si>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</si>
  <si>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</si>
  <si>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</si>
  <si>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</si>
  <si>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</si>
  <si>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</si>
  <si>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</si>
  <si>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</si>
  <si>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</si>
  <si>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</si>
  <si>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</si>
  <si>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</si>
  <si>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</si>
  <si>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</si>
  <si>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</si>
  <si>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</si>
  <si>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</si>
  <si>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</si>
  <si>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</si>
  <si>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</si>
  <si>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NAME:</t>
  </si>
  <si>
    <t>DATE:</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</si>
  <si>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</si>
  <si>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</si>
  <si>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</si>
  <si>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</si>
  <si>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</si>
  <si>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</si>
  <si>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</si>
  <si>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</si>
  <si>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</si>
  <si>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</si>
  <si>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</si>
  <si>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</si>
  <si>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</si>
  <si>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</si>
  <si>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</si>
  <si>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</si>
  <si>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</si>
  <si>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</si>
  <si>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</si>
  <si>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</si>
  <si>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</si>
  <si>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</si>
  <si>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</si>
  <si>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</si>
  <si>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</si>
  <si>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</si>
  <si>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</si>
  <si>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</si>
  <si>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</si>
  <si>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</si>
  <si>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</si>
  <si>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</si>
  <si>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MV SFL ALBANY-328955</t>
  </si>
  <si>
    <t>SUNKIST ORANGE 40 LB BOX NAVEL</t>
  </si>
  <si>
    <t>Sum of qty</t>
  </si>
  <si>
    <t>(All)</t>
  </si>
  <si>
    <t>MV KLEVEN-329051</t>
  </si>
  <si>
    <t>MV HOS BAYOU-329056</t>
  </si>
  <si>
    <t>MV APL PARIS-329063</t>
  </si>
  <si>
    <t>MV HOS BROWNING-329061</t>
  </si>
  <si>
    <t>LEMONS 40 LBS *GREAT QUALITY *</t>
  </si>
  <si>
    <t>FRESH LIMES *10 LB BX ONLY GREAT QUALITY</t>
  </si>
  <si>
    <t>SERRANO HOT CHILI PEPPERS</t>
  </si>
  <si>
    <t>MV THE CHIEF-329066</t>
  </si>
  <si>
    <t>MV HYUNDAI SMART-329059</t>
  </si>
  <si>
    <t>MV IONIC ANASSA-329069</t>
  </si>
  <si>
    <t>MV PS AMALFI-329073</t>
  </si>
  <si>
    <t>MV PACIFIC TRADER-329075</t>
  </si>
  <si>
    <t>MV CHEM STREAM-329076</t>
  </si>
  <si>
    <t>MV SEASPAN LOGA-329077</t>
  </si>
  <si>
    <t>MV STOLT CREATIVITY-329078</t>
  </si>
  <si>
    <t>MV IONIC ASTRAPI-329079</t>
  </si>
  <si>
    <t>MV FLORETGRACHT-329085</t>
  </si>
  <si>
    <t>MV MAERSK INVERNESS-329083</t>
  </si>
  <si>
    <t>MV SEABOARD PIONEER-329081</t>
  </si>
  <si>
    <t>MV GRANDE COTONOU-329093</t>
  </si>
  <si>
    <t>Name:</t>
  </si>
  <si>
    <t>Date:</t>
  </si>
  <si>
    <t>MV POLAR BRASIL-325082</t>
  </si>
  <si>
    <t>dM</t>
  </si>
  <si>
    <t>dIN</t>
  </si>
  <si>
    <t>cM</t>
  </si>
  <si>
    <t>cIN</t>
  </si>
  <si>
    <t>num of items</t>
  </si>
  <si>
    <t>MV CMA CGM BEIRA-329135</t>
  </si>
  <si>
    <t>TEST ITEM 100LBS</t>
  </si>
  <si>
    <t>Test - Item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</si>
</sst>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5">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72">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9" xfId="0" applyBorder="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pivotButton="1" applyAlignment="1">
      <alignment horizontal="center" vertical="top"/>
    </xf>
    <xf numFmtId="0" fontId="0" fillId="0" borderId="0" xfId="0" applyAlignment="1">
      <alignment horizontal="center" vertical="center" wrapText="1"/>
    </xf>
    <xf numFmtId="0" fontId="2" fillId="0" borderId="0" xfId="0" applyFont="1" applyAlignment="1">
      <alignment horizontal="left" vertical="top" wrapText="1"/>
    </xf>
  </cellXfs>
  <cellStyles count="1">
    <cellStyle name="Normal"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9" defaultPivotStyle="PivotStyleLight16">
    <tableStyle name="PivotTable Style 1" table="0" count="2" xr9:uid="{47BE5A16-E3C3-408B-84B0-FBC34A33FE4E}">
      <tableStyleElement type="wholeTable" dxfId="11"/>
      <tableStyleElement type="headerRow" dxfId="10"/>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26DB1B9A-DEEE-48A1-9982-6533EBE14A92}"/>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F321E19E-9F7A-0BC6-EA17-3A01CA7C4ED1}"/>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CreateCheckSheet" textlink="">
      <xdr:nvSpPr>
        <xdr:cNvPr id="4" name="Oval 3">
          <a:extLst>
            <a:ext uri="{FF2B5EF4-FFF2-40B4-BE49-F238E27FC236}">
              <a16:creationId xmlns:a16="http://schemas.microsoft.com/office/drawing/2014/main" id="{1AF457A9-B83D-F694-99BB-29796F0DBB29}"/>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5</xdr:col>
      <xdr:colOff>18549</xdr:colOff>
      <xdr:row>16</xdr:row>
      <xdr:rowOff>105777</xdr:rowOff>
    </xdr:from>
    <xdr:ext cx="1990725" cy="587111"/>
    <xdr:sp macro="[0]!NewBreakdown" textlink="">
      <xdr:nvSpPr>
        <xdr:cNvPr id="2" name="Rectangle: Rounded Corners 1">
          <a:extLst>
            <a:ext uri="{FF2B5EF4-FFF2-40B4-BE49-F238E27FC236}">
              <a16:creationId xmlns:a16="http://schemas.microsoft.com/office/drawing/2014/main" id="{CF196801-466A-14A6-CD0B-B50D9082F840}"/>
            </a:ext>
          </a:extLst>
        </xdr:cNvPr>
        <xdr:cNvSpPr/>
      </xdr:nvSpPr>
      <xdr:spPr>
        <a:xfrm>
          <a:off x="6495549" y="2983330"/>
          <a:ext cx="1990725" cy="58711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pAutoFit/>
        </a:bodyPr>
        <a:lstStyle/>
        <a:p>
          <a:pPr algn="ctr"/>
          <a:r>
            <a:rPr lang="en-US" sz="2800" b="1"/>
            <a:t>Breakdown</a:t>
          </a:r>
        </a:p>
      </xdr:txBody>
    </xdr:sp>
    <xdr:clientData fPrintsWithSheet="0"/>
  </xdr:oneCellAnchor>
</xdr:wsDr>
</file>

<file path=xl/drawings/drawing3.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5531B073-689C-CD87-3047-F8D86F17F031}"/>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64A5D010-C6D6-3684-FAF9-DF74FB7F1347}"/>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CEFC3078-7D2C-6F8C-189A-AADD2FAEA73E}"/>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110C64F8-B3CA-F967-E43A-1B681905F902}"/>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UserForm" textlink="">
      <xdr:nvSpPr>
        <xdr:cNvPr id="4" name="Rectangle: Rounded Corners 3">
          <a:extLst>
            <a:ext uri="{FF2B5EF4-FFF2-40B4-BE49-F238E27FC236}">
              <a16:creationId xmlns:a16="http://schemas.microsoft.com/office/drawing/2014/main" id="{5FAB47D4-0A43-1F05-E776-B6DA25B0E742}"/>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19DCE4C7-7EE0-4CFD-BF35-CD0E3D0BB672}"/>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3848D754-6387-A807-E27E-E65F045B6225}"/>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C66ECB10-0D1D-BAF4-EDB5-2E7C0A0C69E2}"/>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266700</xdr:colOff>
      <xdr:row>21</xdr:row>
      <xdr:rowOff>28575</xdr:rowOff>
    </xdr:from>
    <xdr:to>
      <xdr:col>5</xdr:col>
      <xdr:colOff>2276475</xdr:colOff>
      <xdr:row>23</xdr:row>
      <xdr:rowOff>142875</xdr:rowOff>
    </xdr:to>
    <xdr:sp macro="[0]!SelectedLabels" textlink="">
      <xdr:nvSpPr>
        <xdr:cNvPr id="2" name="Rectangle: Rounded Corners 1">
          <a:extLst>
            <a:ext uri="{FF2B5EF4-FFF2-40B4-BE49-F238E27FC236}">
              <a16:creationId xmlns:a16="http://schemas.microsoft.com/office/drawing/2014/main" id="{051309CD-AF12-A244-08BD-CAA9581A3A2A}"/>
            </a:ext>
          </a:extLst>
        </xdr:cNvPr>
        <xdr:cNvSpPr/>
      </xdr:nvSpPr>
      <xdr:spPr>
        <a:xfrm>
          <a:off x="5572125" y="3429000"/>
          <a:ext cx="2009775" cy="4381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t>Print Select Label</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457200</xdr:colOff>
      <xdr:row>14</xdr:row>
      <xdr:rowOff>0</xdr:rowOff>
    </xdr:from>
    <xdr:to>
      <xdr:col>12</xdr:col>
      <xdr:colOff>152400</xdr:colOff>
      <xdr:row>16</xdr:row>
      <xdr:rowOff>41910</xdr:rowOff>
    </xdr:to>
    <xdr:sp macro="[0]!PrintPivot" textlink="">
      <xdr:nvSpPr>
        <xdr:cNvPr id="2" name="Rectangle: Rounded Corners 1">
          <a:extLst>
            <a:ext uri="{FF2B5EF4-FFF2-40B4-BE49-F238E27FC236}">
              <a16:creationId xmlns:a16="http://schemas.microsoft.com/office/drawing/2014/main" id="{010A56FE-C815-4BFF-8BE4-C73524DC4750}"/>
            </a:ext>
          </a:extLst>
        </xdr:cNvPr>
        <xdr:cNvSpPr/>
      </xdr:nvSpPr>
      <xdr:spPr>
        <a:xfrm>
          <a:off x="3629025" y="2266950"/>
          <a:ext cx="1828800"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PRINT</a:t>
          </a:r>
          <a:r>
            <a:rPr lang="en-US" sz="1400" b="1" baseline="0"/>
            <a:t> DAILY NEEDS</a:t>
          </a:r>
          <a:endParaRPr lang="en-US" sz="1400" b="1"/>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Iovine" refreshedDate="45394.276668749997" createdVersion="8" refreshedVersion="8" minRefreshableVersion="3" recordCount="204" xr:uid="{E84EB005-8F51-4ECE-870B-BB27941A34ED}">
  <cacheSource type="worksheet">
    <worksheetSource ref="A1:D1048576" sheet="Daily"/>
  </cacheSource>
  <cacheFields count="4">
    <cacheField name="qty" numFmtId="0">
      <sharedItems containsString="0" containsBlank="1" containsNumber="1" containsInteger="1" minValue="1" maxValue="651"/>
    </cacheField>
    <cacheField name="meas" numFmtId="0">
      <sharedItems containsBlank="1" count="5">
        <s v="Pound"/>
        <s v="Case"/>
        <m/>
        <s v="Each" u="1"/>
        <s v="Pieces" u="1"/>
      </sharedItems>
    </cacheField>
    <cacheField name="item" numFmtId="0">
      <sharedItems containsBlank="1" count="89">
        <s v="Apple - Macintosh"/>
        <s v="Banana"/>
        <s v="Beet Root"/>
        <s v="Bok Choy"/>
        <s v="Broccoli"/>
        <s v="Cabbage - Chinese Napa"/>
        <s v="Cabbage - Red"/>
        <s v="Cantaloupe"/>
        <s v="Carrot - Loose"/>
        <s v="Celery"/>
        <s v="Chayote"/>
        <s v="Cucumber"/>
        <s v="Daikon Radish - White"/>
        <s v="Eggplant"/>
        <s v="Lemons"/>
        <s v="Lettuce Iceberg"/>
        <s v="Onions yellow"/>
        <s v="Orange"/>
        <s v="Pears"/>
        <s v="Pepper Green "/>
        <s v="Pineapples"/>
        <s v="Potato White"/>
        <s v="Squash Butternut"/>
        <s v="String Beans"/>
        <s v="Tangerines"/>
        <s v="Tomato"/>
        <s v="Watermelons"/>
        <s v="Zucchini Squash"/>
        <s v="Apple - Red Delicious"/>
        <s v="Cabbage - White"/>
        <s v="Cherry Tomato"/>
        <s v="Lettuce Romaine"/>
        <s v="Onion Red"/>
        <s v="Potato Idaho"/>
        <s v="Potato Red"/>
        <s v="Potato Sweet"/>
        <s v="Strawberries"/>
        <s v="Bitter Melon/Gourd"/>
        <s v="Cauliflower"/>
        <s v="Coriander"/>
        <s v="Fenugreek Leaves"/>
        <s v="Ginger"/>
        <s v="Grapes Red Seedless"/>
        <s v="Grapes White Seedless"/>
        <s v="Guava"/>
        <s v="Honeydew Melons"/>
        <s v="Kiwi"/>
        <s v="Mango"/>
        <s v="Mint"/>
        <s v="Okra"/>
        <s v="Pepper - Chili"/>
        <s v="Pepper - Red Bell"/>
        <s v="Pepper - Yellow"/>
        <s v="Pumpkin"/>
        <s v="Leeks"/>
        <s v="Apple - Green"/>
        <s v="Lemon Grass"/>
        <s v="Parsley"/>
        <s v="Mushrooms"/>
        <s v="Pumpkin - Yellow"/>
        <s v="Radish - Red"/>
        <s v="Spinach"/>
        <s v="Scallion Onions"/>
        <s v="Tangerines - Mandarin"/>
        <m/>
        <s v="Cabbage - Napa" u="1"/>
        <s v="Grapefruit" u="1"/>
        <s v="Papaya" u="1"/>
        <s v="Pumkin" u="1"/>
        <s v="Dill" u="1"/>
        <s v="Avocado" u="1"/>
        <s v="Bottle Gourd" u="1"/>
        <s v="Figs" u="1"/>
        <s v="Sno Peas" u="1"/>
        <s v="Bean Sprouts" u="1"/>
        <s v="Pepper - Chili Red" u="1"/>
        <s v="Cabbage - Green" u="1"/>
        <s v="Lettece Iceberg" u="1"/>
        <s v="Peppers Jalapeno" u="1"/>
        <s v="Apples - Golden" u="1"/>
        <s v="Orange Sunkist" u="1"/>
        <s v="Apple - Granny Smith" u="1"/>
        <s v="Cabbage - Savoy" u="1"/>
        <s v="Grapefruit Pink" u="1"/>
        <s v="Asparagus" u="1"/>
        <s v="Pepper Jalapeno " u="1"/>
        <s v="Coconuts" u="1"/>
        <s v="Pepper Long Hot Chili" u="1"/>
        <s v="Ridge Gourd  " u="1"/>
      </sharedItems>
    </cacheField>
    <cacheField name="ship name" numFmtId="0">
      <sharedItems containsBlank="1" count="29">
        <s v="MV KLEVEN-329051"/>
        <s v="MV HOS BAYOU-329056"/>
        <s v="MV THE CHIEF-329066"/>
        <s v="MV HYUNDAI SMART-329059"/>
        <s v="MV PACIFIC TRADER-329075"/>
        <s v="MV CHEM STREAM-329076"/>
        <s v="MV SEASPAN LOGA-329077"/>
        <m/>
        <s v="MV MELCHIOR SCHULTE-329070" u="1"/>
        <s v="MV UNISTAR-328951" u="1"/>
        <s v="MV COBALT SUN-328947" u="1"/>
        <s v="MV SAN FRANCISCA-329017" u="1"/>
        <s v="MV MAERSK MONTE ALEGRE-329046" u="1"/>
        <s v="MV COSCO FORTUNE-329053" u="1"/>
        <s v="MV BLACKCOMB SPIRIT-328823" u="1"/>
        <s v="MV SFL ALBANY-328955" u="1"/>
        <s v="MV ST PAUL-329007" u="1"/>
        <s v="CMA CGM NEVA-329014" u="1"/>
        <s v="MV CONSTELLATION-329020" u="1"/>
        <s v="MV GUARDIAN LEADER-329031" u="1"/>
        <s v="MV POLAR ECUADOR-329035" u="1"/>
        <s v="MV AS CAMELLIA-329048" u="1"/>
        <s v="MV GRANDE MAROCCO-329049" u="1"/>
        <s v="MV LOS ANGELES SPIRIT-328997" u="1"/>
        <s v="MV PALANCA RIO-329001" u="1"/>
        <s v="MV IONIC ARIADNE-329010" u="1"/>
        <s v="MV FJORD PEARL-329018" u="1"/>
        <s v="MV IONIC ARIADNE-329030" u="1"/>
        <s v="MV ATLANTIC ACANTHUS-329027"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396.385450462963" createdVersion="8" refreshedVersion="8" minRefreshableVersion="3" recordCount="413" xr:uid="{161BD564-90B1-4AE0-863A-237CA4FA71AE}">
  <cacheSource type="worksheet">
    <worksheetSource ref="B1:D24059" sheet="On Deck"/>
  </cacheSource>
  <cacheFields count="3">
    <cacheField name="Qty" numFmtId="0">
      <sharedItems containsString="0" containsBlank="1" containsNumber="1" minValue="0.5" maxValue="401"/>
    </cacheField>
    <cacheField name="Meas" numFmtId="0">
      <sharedItems containsBlank="1" count="12">
        <s v="Pound"/>
        <s v="Each"/>
        <s v="Box"/>
        <s v="Bag"/>
        <s v="Bunch"/>
        <m/>
        <s v="Case" u="1"/>
        <s v="Pieces" u="1"/>
        <s v="Heads" u="1"/>
        <s v="Pints" u="1"/>
        <s v="Pint" u="1"/>
        <s v="PT" u="1"/>
      </sharedItems>
    </cacheField>
    <cacheField name="Item" numFmtId="0">
      <sharedItems containsBlank="1" count="204">
        <s v="Apple - Fuji"/>
        <s v="Banana"/>
        <s v="Bitter Melon/Gourd"/>
        <s v="Bok Choy"/>
        <s v="Broccoli"/>
        <s v="Cabbage - Chinese Napa"/>
        <s v="Cabbage - Green"/>
        <s v="Cantaloupe"/>
        <s v="Carrot - Loose"/>
        <s v="Cauliflower"/>
        <s v="Chayote"/>
        <s v="Cucumber"/>
        <s v="Daikon Radish - White"/>
        <s v="Eggplant"/>
        <s v="Ginger"/>
        <s v="Lemon Grass"/>
        <s v="Lettece Iceberg"/>
        <s v="Onion Red"/>
        <s v="Onions yellow"/>
        <s v="Orange"/>
        <s v="Pepper - Chili"/>
        <s v="Pepper - Chili Red"/>
        <s v="Pepper - Red Bell"/>
        <s v="Pepper Green "/>
        <s v="Potato Sweet"/>
        <s v="Potato White"/>
        <s v="Squash Butternut"/>
        <s v="Tomato"/>
        <s v="Watermelons"/>
        <s v="Apples - Golden"/>
        <s v="Beet Root"/>
        <s v="Cabbage - White"/>
        <s v="Coriander"/>
        <s v="Grapes Red Seedless"/>
        <s v="Honeydew Melons"/>
        <s v="Kiwi"/>
        <s v="Lemons"/>
        <s v="Lettuce Iceberg"/>
        <s v="Okra"/>
        <s v="Orange Sunkist"/>
        <s v="Papaya"/>
        <s v="Pears"/>
        <s v="Pepper - Yellow"/>
        <s v="Pineapples"/>
        <s v="Spinach"/>
        <s v="String Beans"/>
        <s v="Tangerines"/>
        <s v="Zucchini Squash"/>
        <s v="Apple - Macintosh"/>
        <s v="Bean Sprouts"/>
        <s v="Celery Root"/>
        <s v="Cherry Tomato"/>
        <s v="Dill"/>
        <s v="Grapes White Seedless"/>
        <s v="Leeks"/>
        <s v="Parsley"/>
        <s v="Peppers Jalapeno"/>
        <s v="Tangerines - Mandarin"/>
        <s v="Asparagus"/>
        <s v="Avocado"/>
        <s v="Celery"/>
        <s v="Garlic"/>
        <s v="Lettuce Romaine"/>
        <s v="Limes"/>
        <s v="Mango"/>
        <s v="Mushrooms"/>
        <s v="Pepper Chili - Serrano"/>
        <s v="Pepper Jalapeno "/>
        <s v="Potato Idaho"/>
        <s v="Potato Red"/>
        <s v="Scallion Onions"/>
        <s v="Spring Mix"/>
        <s v="Strawberries"/>
        <s v="Banana - Plaintain"/>
        <s v="Apple - Green"/>
        <s v="Cabbage - Red"/>
        <s v="Grapefruit"/>
        <s v="Pumpkin"/>
        <s v="Banana "/>
        <s v="Cassava Root"/>
        <s v="Squash Yellow"/>
        <s v="Galia Melon"/>
        <s v="Grapefruit Red"/>
        <s v="Parsnips"/>
        <s v="Sno Peas"/>
        <s v="Basil"/>
        <s v="Garlic Stem\Scapes"/>
        <m/>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n v="120"/>
    <x v="0"/>
    <x v="0"/>
    <x v="0"/>
  </r>
  <r>
    <n v="120"/>
    <x v="0"/>
    <x v="1"/>
    <x v="0"/>
  </r>
  <r>
    <n v="20"/>
    <x v="0"/>
    <x v="2"/>
    <x v="0"/>
  </r>
  <r>
    <n v="20"/>
    <x v="0"/>
    <x v="3"/>
    <x v="0"/>
  </r>
  <r>
    <n v="11"/>
    <x v="0"/>
    <x v="4"/>
    <x v="0"/>
  </r>
  <r>
    <n v="40"/>
    <x v="0"/>
    <x v="5"/>
    <x v="0"/>
  </r>
  <r>
    <n v="25"/>
    <x v="0"/>
    <x v="6"/>
    <x v="0"/>
  </r>
  <r>
    <n v="140"/>
    <x v="0"/>
    <x v="7"/>
    <x v="0"/>
  </r>
  <r>
    <n v="50"/>
    <x v="0"/>
    <x v="8"/>
    <x v="0"/>
  </r>
  <r>
    <n v="10"/>
    <x v="0"/>
    <x v="9"/>
    <x v="0"/>
  </r>
  <r>
    <n v="10"/>
    <x v="0"/>
    <x v="10"/>
    <x v="0"/>
  </r>
  <r>
    <n v="25"/>
    <x v="0"/>
    <x v="11"/>
    <x v="0"/>
  </r>
  <r>
    <n v="15"/>
    <x v="0"/>
    <x v="12"/>
    <x v="0"/>
  </r>
  <r>
    <n v="12"/>
    <x v="0"/>
    <x v="13"/>
    <x v="0"/>
  </r>
  <r>
    <n v="40"/>
    <x v="0"/>
    <x v="14"/>
    <x v="0"/>
  </r>
  <r>
    <n v="20"/>
    <x v="0"/>
    <x v="15"/>
    <x v="0"/>
  </r>
  <r>
    <n v="200"/>
    <x v="0"/>
    <x v="16"/>
    <x v="0"/>
  </r>
  <r>
    <n v="40"/>
    <x v="0"/>
    <x v="17"/>
    <x v="0"/>
  </r>
  <r>
    <n v="40"/>
    <x v="0"/>
    <x v="18"/>
    <x v="0"/>
  </r>
  <r>
    <n v="10"/>
    <x v="0"/>
    <x v="19"/>
    <x v="0"/>
  </r>
  <r>
    <n v="50"/>
    <x v="0"/>
    <x v="20"/>
    <x v="0"/>
  </r>
  <r>
    <n v="300"/>
    <x v="0"/>
    <x v="21"/>
    <x v="0"/>
  </r>
  <r>
    <n v="40"/>
    <x v="0"/>
    <x v="22"/>
    <x v="0"/>
  </r>
  <r>
    <n v="7"/>
    <x v="0"/>
    <x v="23"/>
    <x v="0"/>
  </r>
  <r>
    <n v="30"/>
    <x v="0"/>
    <x v="24"/>
    <x v="0"/>
  </r>
  <r>
    <n v="35"/>
    <x v="0"/>
    <x v="25"/>
    <x v="0"/>
  </r>
  <r>
    <n v="66"/>
    <x v="0"/>
    <x v="26"/>
    <x v="0"/>
  </r>
  <r>
    <n v="9"/>
    <x v="0"/>
    <x v="27"/>
    <x v="0"/>
  </r>
  <r>
    <n v="20"/>
    <x v="0"/>
    <x v="28"/>
    <x v="1"/>
  </r>
  <r>
    <n v="10"/>
    <x v="0"/>
    <x v="4"/>
    <x v="1"/>
  </r>
  <r>
    <n v="20"/>
    <x v="0"/>
    <x v="29"/>
    <x v="1"/>
  </r>
  <r>
    <n v="10"/>
    <x v="0"/>
    <x v="9"/>
    <x v="1"/>
  </r>
  <r>
    <n v="1"/>
    <x v="1"/>
    <x v="30"/>
    <x v="1"/>
  </r>
  <r>
    <n v="10"/>
    <x v="0"/>
    <x v="11"/>
    <x v="1"/>
  </r>
  <r>
    <n v="20"/>
    <x v="0"/>
    <x v="15"/>
    <x v="1"/>
  </r>
  <r>
    <n v="40"/>
    <x v="0"/>
    <x v="31"/>
    <x v="1"/>
  </r>
  <r>
    <n v="25"/>
    <x v="0"/>
    <x v="32"/>
    <x v="1"/>
  </r>
  <r>
    <n v="50"/>
    <x v="0"/>
    <x v="16"/>
    <x v="1"/>
  </r>
  <r>
    <n v="20"/>
    <x v="0"/>
    <x v="17"/>
    <x v="1"/>
  </r>
  <r>
    <n v="50"/>
    <x v="0"/>
    <x v="20"/>
    <x v="1"/>
  </r>
  <r>
    <n v="100"/>
    <x v="0"/>
    <x v="33"/>
    <x v="1"/>
  </r>
  <r>
    <n v="50"/>
    <x v="0"/>
    <x v="34"/>
    <x v="1"/>
  </r>
  <r>
    <n v="20"/>
    <x v="0"/>
    <x v="35"/>
    <x v="1"/>
  </r>
  <r>
    <n v="2"/>
    <x v="1"/>
    <x v="36"/>
    <x v="1"/>
  </r>
  <r>
    <n v="18"/>
    <x v="0"/>
    <x v="27"/>
    <x v="1"/>
  </r>
  <r>
    <n v="40"/>
    <x v="0"/>
    <x v="0"/>
    <x v="2"/>
  </r>
  <r>
    <n v="20"/>
    <x v="0"/>
    <x v="1"/>
    <x v="2"/>
  </r>
  <r>
    <n v="5"/>
    <x v="0"/>
    <x v="2"/>
    <x v="2"/>
  </r>
  <r>
    <n v="5"/>
    <x v="0"/>
    <x v="37"/>
    <x v="2"/>
  </r>
  <r>
    <n v="25"/>
    <x v="0"/>
    <x v="29"/>
    <x v="2"/>
  </r>
  <r>
    <n v="60"/>
    <x v="0"/>
    <x v="7"/>
    <x v="2"/>
  </r>
  <r>
    <n v="40"/>
    <x v="0"/>
    <x v="8"/>
    <x v="2"/>
  </r>
  <r>
    <n v="30"/>
    <x v="0"/>
    <x v="38"/>
    <x v="2"/>
  </r>
  <r>
    <n v="5"/>
    <x v="0"/>
    <x v="39"/>
    <x v="2"/>
  </r>
  <r>
    <n v="15"/>
    <x v="0"/>
    <x v="11"/>
    <x v="2"/>
  </r>
  <r>
    <n v="25"/>
    <x v="0"/>
    <x v="13"/>
    <x v="2"/>
  </r>
  <r>
    <n v="5"/>
    <x v="0"/>
    <x v="40"/>
    <x v="2"/>
  </r>
  <r>
    <n v="10"/>
    <x v="0"/>
    <x v="41"/>
    <x v="2"/>
  </r>
  <r>
    <n v="9"/>
    <x v="0"/>
    <x v="42"/>
    <x v="2"/>
  </r>
  <r>
    <n v="9"/>
    <x v="0"/>
    <x v="43"/>
    <x v="2"/>
  </r>
  <r>
    <n v="16"/>
    <x v="0"/>
    <x v="44"/>
    <x v="2"/>
  </r>
  <r>
    <n v="40"/>
    <x v="0"/>
    <x v="45"/>
    <x v="2"/>
  </r>
  <r>
    <n v="10"/>
    <x v="0"/>
    <x v="46"/>
    <x v="2"/>
  </r>
  <r>
    <n v="10"/>
    <x v="0"/>
    <x v="14"/>
    <x v="2"/>
  </r>
  <r>
    <n v="15"/>
    <x v="0"/>
    <x v="15"/>
    <x v="2"/>
  </r>
  <r>
    <n v="16"/>
    <x v="0"/>
    <x v="47"/>
    <x v="2"/>
  </r>
  <r>
    <n v="2"/>
    <x v="0"/>
    <x v="48"/>
    <x v="2"/>
  </r>
  <r>
    <n v="7"/>
    <x v="0"/>
    <x v="49"/>
    <x v="2"/>
  </r>
  <r>
    <n v="225"/>
    <x v="0"/>
    <x v="16"/>
    <x v="2"/>
  </r>
  <r>
    <n v="40"/>
    <x v="0"/>
    <x v="17"/>
    <x v="2"/>
  </r>
  <r>
    <n v="20"/>
    <x v="0"/>
    <x v="18"/>
    <x v="2"/>
  </r>
  <r>
    <n v="10"/>
    <x v="0"/>
    <x v="50"/>
    <x v="2"/>
  </r>
  <r>
    <n v="5"/>
    <x v="0"/>
    <x v="51"/>
    <x v="2"/>
  </r>
  <r>
    <n v="5"/>
    <x v="0"/>
    <x v="52"/>
    <x v="2"/>
  </r>
  <r>
    <n v="25"/>
    <x v="0"/>
    <x v="19"/>
    <x v="2"/>
  </r>
  <r>
    <n v="175"/>
    <x v="0"/>
    <x v="21"/>
    <x v="2"/>
  </r>
  <r>
    <n v="10"/>
    <x v="0"/>
    <x v="53"/>
    <x v="2"/>
  </r>
  <r>
    <n v="45"/>
    <x v="0"/>
    <x v="24"/>
    <x v="2"/>
  </r>
  <r>
    <n v="25"/>
    <x v="0"/>
    <x v="25"/>
    <x v="2"/>
  </r>
  <r>
    <n v="66"/>
    <x v="0"/>
    <x v="26"/>
    <x v="2"/>
  </r>
  <r>
    <n v="18"/>
    <x v="0"/>
    <x v="27"/>
    <x v="2"/>
  </r>
  <r>
    <n v="175"/>
    <x v="0"/>
    <x v="0"/>
    <x v="3"/>
  </r>
  <r>
    <n v="80"/>
    <x v="0"/>
    <x v="1"/>
    <x v="3"/>
  </r>
  <r>
    <n v="35"/>
    <x v="0"/>
    <x v="2"/>
    <x v="3"/>
  </r>
  <r>
    <n v="150"/>
    <x v="0"/>
    <x v="29"/>
    <x v="3"/>
  </r>
  <r>
    <n v="175"/>
    <x v="0"/>
    <x v="7"/>
    <x v="3"/>
  </r>
  <r>
    <n v="100"/>
    <x v="0"/>
    <x v="8"/>
    <x v="3"/>
  </r>
  <r>
    <n v="10"/>
    <x v="0"/>
    <x v="9"/>
    <x v="3"/>
  </r>
  <r>
    <n v="100"/>
    <x v="0"/>
    <x v="11"/>
    <x v="3"/>
  </r>
  <r>
    <n v="2"/>
    <x v="0"/>
    <x v="12"/>
    <x v="3"/>
  </r>
  <r>
    <n v="10"/>
    <x v="0"/>
    <x v="54"/>
    <x v="3"/>
  </r>
  <r>
    <n v="60"/>
    <x v="0"/>
    <x v="14"/>
    <x v="3"/>
  </r>
  <r>
    <n v="80"/>
    <x v="0"/>
    <x v="15"/>
    <x v="3"/>
  </r>
  <r>
    <n v="150"/>
    <x v="0"/>
    <x v="16"/>
    <x v="3"/>
  </r>
  <r>
    <n v="175"/>
    <x v="0"/>
    <x v="17"/>
    <x v="3"/>
  </r>
  <r>
    <n v="80"/>
    <x v="0"/>
    <x v="18"/>
    <x v="3"/>
  </r>
  <r>
    <n v="5"/>
    <x v="0"/>
    <x v="50"/>
    <x v="3"/>
  </r>
  <r>
    <n v="50"/>
    <x v="0"/>
    <x v="19"/>
    <x v="3"/>
  </r>
  <r>
    <n v="651"/>
    <x v="0"/>
    <x v="21"/>
    <x v="3"/>
  </r>
  <r>
    <n v="150"/>
    <x v="0"/>
    <x v="25"/>
    <x v="3"/>
  </r>
  <r>
    <n v="20"/>
    <x v="0"/>
    <x v="55"/>
    <x v="4"/>
  </r>
  <r>
    <n v="20"/>
    <x v="0"/>
    <x v="0"/>
    <x v="4"/>
  </r>
  <r>
    <n v="20"/>
    <x v="0"/>
    <x v="1"/>
    <x v="4"/>
  </r>
  <r>
    <n v="12"/>
    <x v="0"/>
    <x v="2"/>
    <x v="4"/>
  </r>
  <r>
    <n v="11"/>
    <x v="0"/>
    <x v="4"/>
    <x v="4"/>
  </r>
  <r>
    <n v="20"/>
    <x v="0"/>
    <x v="5"/>
    <x v="4"/>
  </r>
  <r>
    <n v="25"/>
    <x v="0"/>
    <x v="29"/>
    <x v="4"/>
  </r>
  <r>
    <n v="25"/>
    <x v="0"/>
    <x v="8"/>
    <x v="4"/>
  </r>
  <r>
    <n v="25"/>
    <x v="0"/>
    <x v="11"/>
    <x v="4"/>
  </r>
  <r>
    <n v="20"/>
    <x v="0"/>
    <x v="12"/>
    <x v="4"/>
  </r>
  <r>
    <n v="12"/>
    <x v="0"/>
    <x v="13"/>
    <x v="4"/>
  </r>
  <r>
    <n v="2"/>
    <x v="0"/>
    <x v="41"/>
    <x v="4"/>
  </r>
  <r>
    <n v="12"/>
    <x v="0"/>
    <x v="45"/>
    <x v="4"/>
  </r>
  <r>
    <n v="10"/>
    <x v="0"/>
    <x v="54"/>
    <x v="4"/>
  </r>
  <r>
    <n v="2"/>
    <x v="0"/>
    <x v="56"/>
    <x v="4"/>
  </r>
  <r>
    <n v="20"/>
    <x v="0"/>
    <x v="14"/>
    <x v="4"/>
  </r>
  <r>
    <n v="20"/>
    <x v="0"/>
    <x v="15"/>
    <x v="4"/>
  </r>
  <r>
    <n v="75"/>
    <x v="0"/>
    <x v="16"/>
    <x v="4"/>
  </r>
  <r>
    <n v="20"/>
    <x v="0"/>
    <x v="17"/>
    <x v="4"/>
  </r>
  <r>
    <n v="2"/>
    <x v="0"/>
    <x v="57"/>
    <x v="4"/>
  </r>
  <r>
    <n v="20"/>
    <x v="0"/>
    <x v="18"/>
    <x v="4"/>
  </r>
  <r>
    <n v="5"/>
    <x v="0"/>
    <x v="51"/>
    <x v="4"/>
  </r>
  <r>
    <n v="12"/>
    <x v="0"/>
    <x v="19"/>
    <x v="4"/>
  </r>
  <r>
    <n v="12"/>
    <x v="0"/>
    <x v="20"/>
    <x v="4"/>
  </r>
  <r>
    <n v="175"/>
    <x v="0"/>
    <x v="21"/>
    <x v="4"/>
  </r>
  <r>
    <n v="20"/>
    <x v="0"/>
    <x v="53"/>
    <x v="4"/>
  </r>
  <r>
    <n v="15"/>
    <x v="0"/>
    <x v="24"/>
    <x v="4"/>
  </r>
  <r>
    <n v="25"/>
    <x v="0"/>
    <x v="25"/>
    <x v="4"/>
  </r>
  <r>
    <n v="22"/>
    <x v="0"/>
    <x v="26"/>
    <x v="4"/>
  </r>
  <r>
    <n v="60"/>
    <x v="0"/>
    <x v="0"/>
    <x v="5"/>
  </r>
  <r>
    <n v="60"/>
    <x v="0"/>
    <x v="1"/>
    <x v="5"/>
  </r>
  <r>
    <n v="22"/>
    <x v="0"/>
    <x v="4"/>
    <x v="5"/>
  </r>
  <r>
    <n v="10"/>
    <x v="0"/>
    <x v="5"/>
    <x v="5"/>
  </r>
  <r>
    <n v="50"/>
    <x v="0"/>
    <x v="29"/>
    <x v="5"/>
  </r>
  <r>
    <n v="40"/>
    <x v="0"/>
    <x v="7"/>
    <x v="5"/>
  </r>
  <r>
    <n v="25"/>
    <x v="0"/>
    <x v="8"/>
    <x v="5"/>
  </r>
  <r>
    <n v="40"/>
    <x v="0"/>
    <x v="38"/>
    <x v="5"/>
  </r>
  <r>
    <n v="5"/>
    <x v="0"/>
    <x v="9"/>
    <x v="5"/>
  </r>
  <r>
    <n v="5"/>
    <x v="0"/>
    <x v="39"/>
    <x v="5"/>
  </r>
  <r>
    <n v="35"/>
    <x v="0"/>
    <x v="11"/>
    <x v="5"/>
  </r>
  <r>
    <n v="5"/>
    <x v="0"/>
    <x v="12"/>
    <x v="5"/>
  </r>
  <r>
    <n v="25"/>
    <x v="0"/>
    <x v="13"/>
    <x v="5"/>
  </r>
  <r>
    <n v="5"/>
    <x v="0"/>
    <x v="41"/>
    <x v="5"/>
  </r>
  <r>
    <n v="18"/>
    <x v="0"/>
    <x v="42"/>
    <x v="5"/>
  </r>
  <r>
    <n v="10"/>
    <x v="0"/>
    <x v="46"/>
    <x v="5"/>
  </r>
  <r>
    <n v="5"/>
    <x v="0"/>
    <x v="54"/>
    <x v="5"/>
  </r>
  <r>
    <n v="40"/>
    <x v="0"/>
    <x v="15"/>
    <x v="5"/>
  </r>
  <r>
    <n v="5"/>
    <x v="0"/>
    <x v="31"/>
    <x v="5"/>
  </r>
  <r>
    <n v="10"/>
    <x v="0"/>
    <x v="58"/>
    <x v="5"/>
  </r>
  <r>
    <n v="150"/>
    <x v="0"/>
    <x v="32"/>
    <x v="5"/>
  </r>
  <r>
    <n v="2"/>
    <x v="0"/>
    <x v="57"/>
    <x v="5"/>
  </r>
  <r>
    <n v="30"/>
    <x v="0"/>
    <x v="18"/>
    <x v="5"/>
  </r>
  <r>
    <n v="10"/>
    <x v="0"/>
    <x v="50"/>
    <x v="5"/>
  </r>
  <r>
    <n v="25"/>
    <x v="0"/>
    <x v="19"/>
    <x v="5"/>
  </r>
  <r>
    <n v="25"/>
    <x v="0"/>
    <x v="20"/>
    <x v="5"/>
  </r>
  <r>
    <n v="250"/>
    <x v="0"/>
    <x v="21"/>
    <x v="5"/>
  </r>
  <r>
    <n v="15"/>
    <x v="0"/>
    <x v="59"/>
    <x v="5"/>
  </r>
  <r>
    <n v="5"/>
    <x v="0"/>
    <x v="60"/>
    <x v="5"/>
  </r>
  <r>
    <n v="10"/>
    <x v="0"/>
    <x v="61"/>
    <x v="5"/>
  </r>
  <r>
    <n v="15"/>
    <x v="0"/>
    <x v="23"/>
    <x v="5"/>
  </r>
  <r>
    <n v="30"/>
    <x v="0"/>
    <x v="24"/>
    <x v="5"/>
  </r>
  <r>
    <n v="100"/>
    <x v="0"/>
    <x v="25"/>
    <x v="5"/>
  </r>
  <r>
    <n v="66"/>
    <x v="0"/>
    <x v="26"/>
    <x v="5"/>
  </r>
  <r>
    <n v="10"/>
    <x v="0"/>
    <x v="27"/>
    <x v="5"/>
  </r>
  <r>
    <n v="15"/>
    <x v="0"/>
    <x v="55"/>
    <x v="6"/>
  </r>
  <r>
    <n v="15"/>
    <x v="0"/>
    <x v="28"/>
    <x v="6"/>
  </r>
  <r>
    <n v="40"/>
    <x v="0"/>
    <x v="1"/>
    <x v="6"/>
  </r>
  <r>
    <n v="7"/>
    <x v="0"/>
    <x v="2"/>
    <x v="6"/>
  </r>
  <r>
    <n v="7"/>
    <x v="0"/>
    <x v="3"/>
    <x v="6"/>
  </r>
  <r>
    <n v="11"/>
    <x v="0"/>
    <x v="4"/>
    <x v="6"/>
  </r>
  <r>
    <n v="7"/>
    <x v="0"/>
    <x v="5"/>
    <x v="6"/>
  </r>
  <r>
    <n v="5"/>
    <x v="0"/>
    <x v="29"/>
    <x v="6"/>
  </r>
  <r>
    <n v="20"/>
    <x v="0"/>
    <x v="7"/>
    <x v="6"/>
  </r>
  <r>
    <n v="25"/>
    <x v="0"/>
    <x v="8"/>
    <x v="6"/>
  </r>
  <r>
    <n v="15"/>
    <x v="0"/>
    <x v="38"/>
    <x v="6"/>
  </r>
  <r>
    <n v="1"/>
    <x v="0"/>
    <x v="9"/>
    <x v="6"/>
  </r>
  <r>
    <n v="10"/>
    <x v="0"/>
    <x v="10"/>
    <x v="6"/>
  </r>
  <r>
    <n v="10"/>
    <x v="0"/>
    <x v="11"/>
    <x v="6"/>
  </r>
  <r>
    <n v="7"/>
    <x v="0"/>
    <x v="13"/>
    <x v="6"/>
  </r>
  <r>
    <n v="2"/>
    <x v="0"/>
    <x v="41"/>
    <x v="6"/>
  </r>
  <r>
    <n v="9"/>
    <x v="0"/>
    <x v="42"/>
    <x v="6"/>
  </r>
  <r>
    <n v="9"/>
    <x v="0"/>
    <x v="43"/>
    <x v="6"/>
  </r>
  <r>
    <n v="20"/>
    <x v="0"/>
    <x v="45"/>
    <x v="6"/>
  </r>
  <r>
    <n v="5"/>
    <x v="0"/>
    <x v="46"/>
    <x v="6"/>
  </r>
  <r>
    <n v="1"/>
    <x v="0"/>
    <x v="54"/>
    <x v="6"/>
  </r>
  <r>
    <n v="5"/>
    <x v="0"/>
    <x v="14"/>
    <x v="6"/>
  </r>
  <r>
    <n v="10"/>
    <x v="0"/>
    <x v="15"/>
    <x v="6"/>
  </r>
  <r>
    <n v="5"/>
    <x v="0"/>
    <x v="58"/>
    <x v="6"/>
  </r>
  <r>
    <n v="50"/>
    <x v="0"/>
    <x v="16"/>
    <x v="6"/>
  </r>
  <r>
    <n v="20"/>
    <x v="0"/>
    <x v="17"/>
    <x v="6"/>
  </r>
  <r>
    <n v="1"/>
    <x v="0"/>
    <x v="57"/>
    <x v="6"/>
  </r>
  <r>
    <n v="2"/>
    <x v="0"/>
    <x v="51"/>
    <x v="6"/>
  </r>
  <r>
    <n v="7"/>
    <x v="0"/>
    <x v="19"/>
    <x v="6"/>
  </r>
  <r>
    <n v="25"/>
    <x v="0"/>
    <x v="20"/>
    <x v="6"/>
  </r>
  <r>
    <n v="25"/>
    <x v="0"/>
    <x v="21"/>
    <x v="6"/>
  </r>
  <r>
    <n v="20"/>
    <x v="0"/>
    <x v="53"/>
    <x v="6"/>
  </r>
  <r>
    <n v="1"/>
    <x v="0"/>
    <x v="62"/>
    <x v="6"/>
  </r>
  <r>
    <n v="5"/>
    <x v="0"/>
    <x v="61"/>
    <x v="6"/>
  </r>
  <r>
    <n v="7"/>
    <x v="0"/>
    <x v="22"/>
    <x v="6"/>
  </r>
  <r>
    <n v="12"/>
    <x v="0"/>
    <x v="23"/>
    <x v="6"/>
  </r>
  <r>
    <n v="10"/>
    <x v="0"/>
    <x v="63"/>
    <x v="6"/>
  </r>
  <r>
    <n v="25"/>
    <x v="0"/>
    <x v="25"/>
    <x v="6"/>
  </r>
  <r>
    <n v="22"/>
    <x v="0"/>
    <x v="26"/>
    <x v="6"/>
  </r>
  <r>
    <m/>
    <x v="2"/>
    <x v="64"/>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3">
  <r>
    <n v="40"/>
    <x v="0"/>
    <x v="0"/>
  </r>
  <r>
    <n v="20"/>
    <x v="0"/>
    <x v="1"/>
  </r>
  <r>
    <n v="10"/>
    <x v="0"/>
    <x v="2"/>
  </r>
  <r>
    <n v="10"/>
    <x v="0"/>
    <x v="3"/>
  </r>
  <r>
    <n v="22"/>
    <x v="0"/>
    <x v="4"/>
  </r>
  <r>
    <n v="40"/>
    <x v="0"/>
    <x v="5"/>
  </r>
  <r>
    <n v="100"/>
    <x v="0"/>
    <x v="6"/>
  </r>
  <r>
    <n v="53"/>
    <x v="0"/>
    <x v="7"/>
  </r>
  <r>
    <n v="50"/>
    <x v="0"/>
    <x v="8"/>
  </r>
  <r>
    <n v="10"/>
    <x v="0"/>
    <x v="9"/>
  </r>
  <r>
    <n v="20"/>
    <x v="0"/>
    <x v="10"/>
  </r>
  <r>
    <n v="10"/>
    <x v="0"/>
    <x v="11"/>
  </r>
  <r>
    <n v="10"/>
    <x v="0"/>
    <x v="12"/>
  </r>
  <r>
    <n v="35"/>
    <x v="0"/>
    <x v="13"/>
  </r>
  <r>
    <n v="10"/>
    <x v="0"/>
    <x v="14"/>
  </r>
  <r>
    <n v="5"/>
    <x v="0"/>
    <x v="15"/>
  </r>
  <r>
    <n v="20"/>
    <x v="0"/>
    <x v="16"/>
  </r>
  <r>
    <n v="25"/>
    <x v="0"/>
    <x v="17"/>
  </r>
  <r>
    <n v="75"/>
    <x v="0"/>
    <x v="18"/>
  </r>
  <r>
    <n v="53"/>
    <x v="0"/>
    <x v="19"/>
  </r>
  <r>
    <n v="7"/>
    <x v="0"/>
    <x v="20"/>
  </r>
  <r>
    <n v="7"/>
    <x v="0"/>
    <x v="21"/>
  </r>
  <r>
    <n v="12"/>
    <x v="0"/>
    <x v="22"/>
  </r>
  <r>
    <n v="12"/>
    <x v="0"/>
    <x v="23"/>
  </r>
  <r>
    <n v="10"/>
    <x v="0"/>
    <x v="24"/>
  </r>
  <r>
    <n v="50"/>
    <x v="0"/>
    <x v="25"/>
  </r>
  <r>
    <n v="40"/>
    <x v="0"/>
    <x v="26"/>
  </r>
  <r>
    <n v="75"/>
    <x v="0"/>
    <x v="27"/>
  </r>
  <r>
    <n v="44"/>
    <x v="0"/>
    <x v="28"/>
  </r>
  <r>
    <n v="80"/>
    <x v="0"/>
    <x v="29"/>
  </r>
  <r>
    <n v="40"/>
    <x v="0"/>
    <x v="1"/>
  </r>
  <r>
    <n v="15"/>
    <x v="0"/>
    <x v="30"/>
  </r>
  <r>
    <n v="20"/>
    <x v="0"/>
    <x v="2"/>
  </r>
  <r>
    <n v="50"/>
    <x v="0"/>
    <x v="31"/>
  </r>
  <r>
    <n v="65"/>
    <x v="0"/>
    <x v="8"/>
  </r>
  <r>
    <n v="65"/>
    <x v="0"/>
    <x v="9"/>
  </r>
  <r>
    <n v="10"/>
    <x v="0"/>
    <x v="32"/>
  </r>
  <r>
    <n v="25"/>
    <x v="0"/>
    <x v="11"/>
  </r>
  <r>
    <n v="20"/>
    <x v="0"/>
    <x v="12"/>
  </r>
  <r>
    <n v="35"/>
    <x v="0"/>
    <x v="13"/>
  </r>
  <r>
    <n v="35"/>
    <x v="0"/>
    <x v="14"/>
  </r>
  <r>
    <n v="18"/>
    <x v="0"/>
    <x v="33"/>
  </r>
  <r>
    <n v="96"/>
    <x v="0"/>
    <x v="34"/>
  </r>
  <r>
    <n v="20"/>
    <x v="0"/>
    <x v="35"/>
  </r>
  <r>
    <n v="20"/>
    <x v="0"/>
    <x v="36"/>
  </r>
  <r>
    <n v="10"/>
    <x v="0"/>
    <x v="37"/>
  </r>
  <r>
    <n v="25"/>
    <x v="0"/>
    <x v="38"/>
  </r>
  <r>
    <n v="401"/>
    <x v="0"/>
    <x v="17"/>
  </r>
  <r>
    <n v="35"/>
    <x v="0"/>
    <x v="39"/>
  </r>
  <r>
    <n v="24"/>
    <x v="0"/>
    <x v="40"/>
  </r>
  <r>
    <n v="60"/>
    <x v="0"/>
    <x v="41"/>
  </r>
  <r>
    <n v="20"/>
    <x v="0"/>
    <x v="20"/>
  </r>
  <r>
    <n v="10"/>
    <x v="0"/>
    <x v="42"/>
  </r>
  <r>
    <n v="50"/>
    <x v="0"/>
    <x v="43"/>
  </r>
  <r>
    <n v="175"/>
    <x v="0"/>
    <x v="25"/>
  </r>
  <r>
    <n v="20"/>
    <x v="0"/>
    <x v="44"/>
  </r>
  <r>
    <n v="25"/>
    <x v="0"/>
    <x v="45"/>
  </r>
  <r>
    <n v="60"/>
    <x v="0"/>
    <x v="46"/>
  </r>
  <r>
    <n v="90"/>
    <x v="0"/>
    <x v="27"/>
  </r>
  <r>
    <n v="88"/>
    <x v="0"/>
    <x v="28"/>
  </r>
  <r>
    <n v="45"/>
    <x v="0"/>
    <x v="47"/>
  </r>
  <r>
    <n v="40"/>
    <x v="0"/>
    <x v="48"/>
  </r>
  <r>
    <n v="40"/>
    <x v="0"/>
    <x v="29"/>
  </r>
  <r>
    <n v="40"/>
    <x v="0"/>
    <x v="1"/>
  </r>
  <r>
    <n v="10"/>
    <x v="0"/>
    <x v="49"/>
  </r>
  <r>
    <n v="40"/>
    <x v="0"/>
    <x v="3"/>
  </r>
  <r>
    <n v="22"/>
    <x v="0"/>
    <x v="4"/>
  </r>
  <r>
    <n v="40"/>
    <x v="0"/>
    <x v="5"/>
  </r>
  <r>
    <n v="40"/>
    <x v="0"/>
    <x v="7"/>
  </r>
  <r>
    <n v="40"/>
    <x v="0"/>
    <x v="7"/>
  </r>
  <r>
    <n v="35"/>
    <x v="0"/>
    <x v="8"/>
  </r>
  <r>
    <n v="10"/>
    <x v="0"/>
    <x v="50"/>
  </r>
  <r>
    <n v="24"/>
    <x v="0"/>
    <x v="51"/>
  </r>
  <r>
    <n v="2"/>
    <x v="0"/>
    <x v="32"/>
  </r>
  <r>
    <n v="25"/>
    <x v="0"/>
    <x v="11"/>
  </r>
  <r>
    <n v="5"/>
    <x v="0"/>
    <x v="52"/>
  </r>
  <r>
    <n v="35"/>
    <x v="0"/>
    <x v="13"/>
  </r>
  <r>
    <n v="18"/>
    <x v="0"/>
    <x v="33"/>
  </r>
  <r>
    <n v="18"/>
    <x v="0"/>
    <x v="53"/>
  </r>
  <r>
    <n v="7"/>
    <x v="0"/>
    <x v="54"/>
  </r>
  <r>
    <n v="20"/>
    <x v="0"/>
    <x v="36"/>
  </r>
  <r>
    <n v="40"/>
    <x v="0"/>
    <x v="37"/>
  </r>
  <r>
    <n v="40"/>
    <x v="0"/>
    <x v="19"/>
  </r>
  <r>
    <n v="5"/>
    <x v="0"/>
    <x v="55"/>
  </r>
  <r>
    <n v="12"/>
    <x v="0"/>
    <x v="22"/>
  </r>
  <r>
    <n v="20"/>
    <x v="0"/>
    <x v="23"/>
  </r>
  <r>
    <n v="7"/>
    <x v="0"/>
    <x v="56"/>
  </r>
  <r>
    <n v="15"/>
    <x v="0"/>
    <x v="44"/>
  </r>
  <r>
    <n v="30"/>
    <x v="0"/>
    <x v="57"/>
  </r>
  <r>
    <n v="50"/>
    <x v="0"/>
    <x v="27"/>
  </r>
  <r>
    <n v="66"/>
    <x v="0"/>
    <x v="28"/>
  </r>
  <r>
    <n v="18"/>
    <x v="0"/>
    <x v="47"/>
  </r>
  <r>
    <n v="40"/>
    <x v="0"/>
    <x v="48"/>
  </r>
  <r>
    <n v="22"/>
    <x v="0"/>
    <x v="58"/>
  </r>
  <r>
    <n v="110"/>
    <x v="0"/>
    <x v="59"/>
  </r>
  <r>
    <n v="120"/>
    <x v="0"/>
    <x v="1"/>
  </r>
  <r>
    <n v="44"/>
    <x v="0"/>
    <x v="4"/>
  </r>
  <r>
    <n v="50"/>
    <x v="0"/>
    <x v="6"/>
  </r>
  <r>
    <n v="80"/>
    <x v="0"/>
    <x v="7"/>
  </r>
  <r>
    <n v="50"/>
    <x v="0"/>
    <x v="8"/>
  </r>
  <r>
    <n v="20"/>
    <x v="0"/>
    <x v="9"/>
  </r>
  <r>
    <n v="30"/>
    <x v="0"/>
    <x v="60"/>
  </r>
  <r>
    <n v="16"/>
    <x v="0"/>
    <x v="51"/>
  </r>
  <r>
    <n v="15"/>
    <x v="0"/>
    <x v="32"/>
  </r>
  <r>
    <n v="50"/>
    <x v="0"/>
    <x v="11"/>
  </r>
  <r>
    <n v="10"/>
    <x v="0"/>
    <x v="61"/>
  </r>
  <r>
    <n v="1"/>
    <x v="0"/>
    <x v="14"/>
  </r>
  <r>
    <n v="36"/>
    <x v="0"/>
    <x v="33"/>
  </r>
  <r>
    <n v="18"/>
    <x v="0"/>
    <x v="53"/>
  </r>
  <r>
    <n v="48"/>
    <x v="0"/>
    <x v="34"/>
  </r>
  <r>
    <n v="30"/>
    <x v="0"/>
    <x v="35"/>
  </r>
  <r>
    <n v="40"/>
    <x v="0"/>
    <x v="36"/>
  </r>
  <r>
    <n v="40"/>
    <x v="0"/>
    <x v="37"/>
  </r>
  <r>
    <n v="40"/>
    <x v="0"/>
    <x v="62"/>
  </r>
  <r>
    <n v="60"/>
    <x v="0"/>
    <x v="63"/>
  </r>
  <r>
    <n v="24"/>
    <x v="0"/>
    <x v="64"/>
  </r>
  <r>
    <n v="20"/>
    <x v="0"/>
    <x v="65"/>
  </r>
  <r>
    <n v="35"/>
    <x v="0"/>
    <x v="17"/>
  </r>
  <r>
    <n v="50"/>
    <x v="0"/>
    <x v="18"/>
  </r>
  <r>
    <n v="120"/>
    <x v="0"/>
    <x v="19"/>
  </r>
  <r>
    <n v="15"/>
    <x v="0"/>
    <x v="55"/>
  </r>
  <r>
    <n v="40"/>
    <x v="0"/>
    <x v="41"/>
  </r>
  <r>
    <n v="22"/>
    <x v="0"/>
    <x v="22"/>
  </r>
  <r>
    <n v="20"/>
    <x v="0"/>
    <x v="42"/>
  </r>
  <r>
    <n v="20"/>
    <x v="0"/>
    <x v="66"/>
  </r>
  <r>
    <n v="40"/>
    <x v="0"/>
    <x v="23"/>
  </r>
  <r>
    <n v="20"/>
    <x v="0"/>
    <x v="67"/>
  </r>
  <r>
    <n v="120"/>
    <x v="0"/>
    <x v="43"/>
  </r>
  <r>
    <n v="195"/>
    <x v="0"/>
    <x v="68"/>
  </r>
  <r>
    <n v="25"/>
    <x v="0"/>
    <x v="69"/>
  </r>
  <r>
    <n v="2"/>
    <x v="0"/>
    <x v="70"/>
  </r>
  <r>
    <n v="10"/>
    <x v="0"/>
    <x v="44"/>
  </r>
  <r>
    <n v="3"/>
    <x v="0"/>
    <x v="71"/>
  </r>
  <r>
    <n v="10"/>
    <x v="0"/>
    <x v="26"/>
  </r>
  <r>
    <n v="20"/>
    <x v="0"/>
    <x v="72"/>
  </r>
  <r>
    <n v="95"/>
    <x v="0"/>
    <x v="27"/>
  </r>
  <r>
    <n v="5"/>
    <x v="1"/>
    <x v="28"/>
  </r>
  <r>
    <n v="16"/>
    <x v="1"/>
    <x v="28"/>
  </r>
  <r>
    <n v="36"/>
    <x v="0"/>
    <x v="47"/>
  </r>
  <r>
    <n v="80"/>
    <x v="0"/>
    <x v="1"/>
  </r>
  <r>
    <n v="60"/>
    <x v="0"/>
    <x v="73"/>
  </r>
  <r>
    <n v="20"/>
    <x v="0"/>
    <x v="3"/>
  </r>
  <r>
    <n v="22"/>
    <x v="0"/>
    <x v="4"/>
  </r>
  <r>
    <n v="20"/>
    <x v="0"/>
    <x v="5"/>
  </r>
  <r>
    <n v="25"/>
    <x v="0"/>
    <x v="31"/>
  </r>
  <r>
    <n v="60"/>
    <x v="0"/>
    <x v="7"/>
  </r>
  <r>
    <n v="100"/>
    <x v="0"/>
    <x v="8"/>
  </r>
  <r>
    <n v="10"/>
    <x v="0"/>
    <x v="9"/>
  </r>
  <r>
    <n v="10"/>
    <x v="0"/>
    <x v="60"/>
  </r>
  <r>
    <n v="20"/>
    <x v="0"/>
    <x v="10"/>
  </r>
  <r>
    <n v="25"/>
    <x v="0"/>
    <x v="11"/>
  </r>
  <r>
    <n v="20"/>
    <x v="0"/>
    <x v="12"/>
  </r>
  <r>
    <n v="50"/>
    <x v="0"/>
    <x v="13"/>
  </r>
  <r>
    <n v="10"/>
    <x v="0"/>
    <x v="14"/>
  </r>
  <r>
    <n v="60"/>
    <x v="0"/>
    <x v="34"/>
  </r>
  <r>
    <n v="10"/>
    <x v="0"/>
    <x v="54"/>
  </r>
  <r>
    <n v="5"/>
    <x v="0"/>
    <x v="15"/>
  </r>
  <r>
    <n v="20"/>
    <x v="0"/>
    <x v="36"/>
  </r>
  <r>
    <n v="50"/>
    <x v="0"/>
    <x v="37"/>
  </r>
  <r>
    <n v="50"/>
    <x v="0"/>
    <x v="17"/>
  </r>
  <r>
    <n v="50"/>
    <x v="0"/>
    <x v="18"/>
  </r>
  <r>
    <n v="60"/>
    <x v="0"/>
    <x v="19"/>
  </r>
  <r>
    <n v="5"/>
    <x v="0"/>
    <x v="20"/>
  </r>
  <r>
    <n v="2"/>
    <x v="0"/>
    <x v="22"/>
  </r>
  <r>
    <n v="35"/>
    <x v="0"/>
    <x v="23"/>
  </r>
  <r>
    <n v="20"/>
    <x v="0"/>
    <x v="24"/>
  </r>
  <r>
    <n v="25"/>
    <x v="0"/>
    <x v="25"/>
  </r>
  <r>
    <n v="20"/>
    <x v="0"/>
    <x v="44"/>
  </r>
  <r>
    <n v="60"/>
    <x v="0"/>
    <x v="26"/>
  </r>
  <r>
    <n v="25"/>
    <x v="0"/>
    <x v="45"/>
  </r>
  <r>
    <n v="30"/>
    <x v="0"/>
    <x v="57"/>
  </r>
  <r>
    <n v="100"/>
    <x v="0"/>
    <x v="27"/>
  </r>
  <r>
    <n v="88"/>
    <x v="0"/>
    <x v="28"/>
  </r>
  <r>
    <n v="80"/>
    <x v="0"/>
    <x v="74"/>
  </r>
  <r>
    <n v="80"/>
    <x v="0"/>
    <x v="48"/>
  </r>
  <r>
    <n v="60"/>
    <x v="0"/>
    <x v="29"/>
  </r>
  <r>
    <n v="25"/>
    <x v="0"/>
    <x v="59"/>
  </r>
  <r>
    <n v="80"/>
    <x v="0"/>
    <x v="1"/>
  </r>
  <r>
    <n v="10"/>
    <x v="0"/>
    <x v="49"/>
  </r>
  <r>
    <n v="12"/>
    <x v="0"/>
    <x v="30"/>
  </r>
  <r>
    <n v="20"/>
    <x v="0"/>
    <x v="3"/>
  </r>
  <r>
    <n v="22"/>
    <x v="0"/>
    <x v="4"/>
  </r>
  <r>
    <n v="40"/>
    <x v="0"/>
    <x v="5"/>
  </r>
  <r>
    <n v="35"/>
    <x v="0"/>
    <x v="75"/>
  </r>
  <r>
    <n v="75"/>
    <x v="0"/>
    <x v="31"/>
  </r>
  <r>
    <n v="80"/>
    <x v="0"/>
    <x v="7"/>
  </r>
  <r>
    <n v="100"/>
    <x v="0"/>
    <x v="8"/>
  </r>
  <r>
    <n v="10"/>
    <x v="0"/>
    <x v="9"/>
  </r>
  <r>
    <n v="10"/>
    <x v="0"/>
    <x v="60"/>
  </r>
  <r>
    <n v="20"/>
    <x v="0"/>
    <x v="10"/>
  </r>
  <r>
    <n v="8"/>
    <x v="0"/>
    <x v="51"/>
  </r>
  <r>
    <n v="50"/>
    <x v="0"/>
    <x v="11"/>
  </r>
  <r>
    <n v="20"/>
    <x v="0"/>
    <x v="12"/>
  </r>
  <r>
    <n v="25"/>
    <x v="0"/>
    <x v="13"/>
  </r>
  <r>
    <n v="5"/>
    <x v="0"/>
    <x v="14"/>
  </r>
  <r>
    <n v="40"/>
    <x v="0"/>
    <x v="76"/>
  </r>
  <r>
    <n v="15"/>
    <x v="0"/>
    <x v="54"/>
  </r>
  <r>
    <n v="5"/>
    <x v="0"/>
    <x v="15"/>
  </r>
  <r>
    <n v="40"/>
    <x v="0"/>
    <x v="36"/>
  </r>
  <r>
    <n v="40"/>
    <x v="0"/>
    <x v="37"/>
  </r>
  <r>
    <n v="35"/>
    <x v="0"/>
    <x v="17"/>
  </r>
  <r>
    <n v="100"/>
    <x v="0"/>
    <x v="18"/>
  </r>
  <r>
    <n v="75"/>
    <x v="0"/>
    <x v="18"/>
  </r>
  <r>
    <n v="40"/>
    <x v="0"/>
    <x v="19"/>
  </r>
  <r>
    <n v="5"/>
    <x v="0"/>
    <x v="55"/>
  </r>
  <r>
    <n v="40"/>
    <x v="0"/>
    <x v="41"/>
  </r>
  <r>
    <n v="5"/>
    <x v="0"/>
    <x v="20"/>
  </r>
  <r>
    <n v="2"/>
    <x v="0"/>
    <x v="20"/>
  </r>
  <r>
    <n v="5"/>
    <x v="0"/>
    <x v="21"/>
  </r>
  <r>
    <n v="40"/>
    <x v="0"/>
    <x v="23"/>
  </r>
  <r>
    <n v="50"/>
    <x v="0"/>
    <x v="43"/>
  </r>
  <r>
    <n v="40"/>
    <x v="0"/>
    <x v="24"/>
  </r>
  <r>
    <n v="225"/>
    <x v="0"/>
    <x v="25"/>
  </r>
  <r>
    <n v="20"/>
    <x v="0"/>
    <x v="77"/>
  </r>
  <r>
    <n v="2"/>
    <x v="0"/>
    <x v="70"/>
  </r>
  <r>
    <n v="7"/>
    <x v="0"/>
    <x v="45"/>
  </r>
  <r>
    <n v="7"/>
    <x v="0"/>
    <x v="45"/>
  </r>
  <r>
    <n v="7"/>
    <x v="0"/>
    <x v="45"/>
  </r>
  <r>
    <n v="45"/>
    <x v="0"/>
    <x v="57"/>
  </r>
  <r>
    <n v="65"/>
    <x v="0"/>
    <x v="27"/>
  </r>
  <r>
    <n v="66"/>
    <x v="0"/>
    <x v="28"/>
  </r>
  <r>
    <n v="9"/>
    <x v="0"/>
    <x v="47"/>
  </r>
  <r>
    <n v="20"/>
    <x v="0"/>
    <x v="74"/>
  </r>
  <r>
    <n v="40"/>
    <x v="0"/>
    <x v="48"/>
  </r>
  <r>
    <n v="40"/>
    <x v="0"/>
    <x v="29"/>
  </r>
  <r>
    <n v="60"/>
    <x v="0"/>
    <x v="1"/>
  </r>
  <r>
    <n v="10"/>
    <x v="0"/>
    <x v="30"/>
  </r>
  <r>
    <n v="22"/>
    <x v="0"/>
    <x v="4"/>
  </r>
  <r>
    <n v="10"/>
    <x v="0"/>
    <x v="5"/>
  </r>
  <r>
    <n v="10"/>
    <x v="0"/>
    <x v="31"/>
  </r>
  <r>
    <n v="60"/>
    <x v="0"/>
    <x v="7"/>
  </r>
  <r>
    <n v="50"/>
    <x v="0"/>
    <x v="8"/>
  </r>
  <r>
    <n v="20"/>
    <x v="0"/>
    <x v="9"/>
  </r>
  <r>
    <n v="5"/>
    <x v="0"/>
    <x v="60"/>
  </r>
  <r>
    <n v="10"/>
    <x v="0"/>
    <x v="10"/>
  </r>
  <r>
    <n v="15"/>
    <x v="0"/>
    <x v="11"/>
  </r>
  <r>
    <n v="2"/>
    <x v="0"/>
    <x v="12"/>
  </r>
  <r>
    <n v="2"/>
    <x v="0"/>
    <x v="52"/>
  </r>
  <r>
    <n v="5"/>
    <x v="0"/>
    <x v="13"/>
  </r>
  <r>
    <n v="10"/>
    <x v="0"/>
    <x v="14"/>
  </r>
  <r>
    <n v="10"/>
    <x v="0"/>
    <x v="76"/>
  </r>
  <r>
    <n v="10"/>
    <x v="0"/>
    <x v="33"/>
  </r>
  <r>
    <n v="10"/>
    <x v="0"/>
    <x v="54"/>
  </r>
  <r>
    <n v="5"/>
    <x v="0"/>
    <x v="36"/>
  </r>
  <r>
    <n v="10"/>
    <x v="0"/>
    <x v="37"/>
  </r>
  <r>
    <n v="8"/>
    <x v="0"/>
    <x v="64"/>
  </r>
  <r>
    <n v="5"/>
    <x v="0"/>
    <x v="65"/>
  </r>
  <r>
    <n v="50"/>
    <x v="0"/>
    <x v="18"/>
  </r>
  <r>
    <n v="40"/>
    <x v="0"/>
    <x v="19"/>
  </r>
  <r>
    <n v="2"/>
    <x v="0"/>
    <x v="55"/>
  </r>
  <r>
    <n v="10"/>
    <x v="0"/>
    <x v="41"/>
  </r>
  <r>
    <n v="10"/>
    <x v="0"/>
    <x v="22"/>
  </r>
  <r>
    <n v="10"/>
    <x v="0"/>
    <x v="23"/>
  </r>
  <r>
    <n v="20"/>
    <x v="0"/>
    <x v="43"/>
  </r>
  <r>
    <n v="50"/>
    <x v="0"/>
    <x v="25"/>
  </r>
  <r>
    <n v="10"/>
    <x v="0"/>
    <x v="45"/>
  </r>
  <r>
    <n v="35"/>
    <x v="0"/>
    <x v="27"/>
  </r>
  <r>
    <n v="18"/>
    <x v="0"/>
    <x v="47"/>
  </r>
  <r>
    <n v="80"/>
    <x v="0"/>
    <x v="48"/>
  </r>
  <r>
    <n v="40"/>
    <x v="0"/>
    <x v="1"/>
  </r>
  <r>
    <n v="40"/>
    <x v="0"/>
    <x v="78"/>
  </r>
  <r>
    <n v="20"/>
    <x v="0"/>
    <x v="3"/>
  </r>
  <r>
    <n v="40"/>
    <x v="0"/>
    <x v="5"/>
  </r>
  <r>
    <n v="25"/>
    <x v="0"/>
    <x v="31"/>
  </r>
  <r>
    <n v="40"/>
    <x v="0"/>
    <x v="7"/>
  </r>
  <r>
    <n v="100"/>
    <x v="0"/>
    <x v="8"/>
  </r>
  <r>
    <n v="10"/>
    <x v="0"/>
    <x v="79"/>
  </r>
  <r>
    <n v="20"/>
    <x v="0"/>
    <x v="10"/>
  </r>
  <r>
    <n v="35"/>
    <x v="0"/>
    <x v="11"/>
  </r>
  <r>
    <n v="10"/>
    <x v="0"/>
    <x v="12"/>
  </r>
  <r>
    <n v="25"/>
    <x v="0"/>
    <x v="13"/>
  </r>
  <r>
    <n v="5"/>
    <x v="0"/>
    <x v="14"/>
  </r>
  <r>
    <n v="10"/>
    <x v="0"/>
    <x v="53"/>
  </r>
  <r>
    <n v="40"/>
    <x v="0"/>
    <x v="36"/>
  </r>
  <r>
    <n v="40"/>
    <x v="0"/>
    <x v="37"/>
  </r>
  <r>
    <n v="65"/>
    <x v="0"/>
    <x v="18"/>
  </r>
  <r>
    <n v="80"/>
    <x v="0"/>
    <x v="19"/>
  </r>
  <r>
    <n v="20"/>
    <x v="0"/>
    <x v="41"/>
  </r>
  <r>
    <n v="5"/>
    <x v="0"/>
    <x v="20"/>
  </r>
  <r>
    <n v="2"/>
    <x v="0"/>
    <x v="21"/>
  </r>
  <r>
    <n v="25"/>
    <x v="0"/>
    <x v="23"/>
  </r>
  <r>
    <n v="25"/>
    <x v="0"/>
    <x v="43"/>
  </r>
  <r>
    <n v="100"/>
    <x v="0"/>
    <x v="25"/>
  </r>
  <r>
    <n v="10"/>
    <x v="0"/>
    <x v="26"/>
  </r>
  <r>
    <n v="10"/>
    <x v="0"/>
    <x v="80"/>
  </r>
  <r>
    <n v="10"/>
    <x v="0"/>
    <x v="45"/>
  </r>
  <r>
    <n v="75"/>
    <x v="0"/>
    <x v="27"/>
  </r>
  <r>
    <n v="10"/>
    <x v="0"/>
    <x v="47"/>
  </r>
  <r>
    <n v="20"/>
    <x v="0"/>
    <x v="48"/>
  </r>
  <r>
    <n v="20"/>
    <x v="0"/>
    <x v="1"/>
  </r>
  <r>
    <n v="10"/>
    <x v="0"/>
    <x v="3"/>
  </r>
  <r>
    <n v="11"/>
    <x v="0"/>
    <x v="4"/>
  </r>
  <r>
    <n v="5"/>
    <x v="0"/>
    <x v="5"/>
  </r>
  <r>
    <n v="5"/>
    <x v="0"/>
    <x v="75"/>
  </r>
  <r>
    <n v="25"/>
    <x v="0"/>
    <x v="31"/>
  </r>
  <r>
    <n v="10"/>
    <x v="0"/>
    <x v="9"/>
  </r>
  <r>
    <n v="10"/>
    <x v="0"/>
    <x v="50"/>
  </r>
  <r>
    <n v="10"/>
    <x v="0"/>
    <x v="11"/>
  </r>
  <r>
    <n v="5"/>
    <x v="0"/>
    <x v="12"/>
  </r>
  <r>
    <n v="10"/>
    <x v="0"/>
    <x v="13"/>
  </r>
  <r>
    <n v="5"/>
    <x v="0"/>
    <x v="81"/>
  </r>
  <r>
    <n v="10"/>
    <x v="0"/>
    <x v="14"/>
  </r>
  <r>
    <n v="9"/>
    <x v="0"/>
    <x v="33"/>
  </r>
  <r>
    <n v="5"/>
    <x v="0"/>
    <x v="54"/>
  </r>
  <r>
    <n v="10"/>
    <x v="0"/>
    <x v="36"/>
  </r>
  <r>
    <n v="20"/>
    <x v="0"/>
    <x v="37"/>
  </r>
  <r>
    <n v="5"/>
    <x v="0"/>
    <x v="62"/>
  </r>
  <r>
    <n v="10"/>
    <x v="0"/>
    <x v="65"/>
  </r>
  <r>
    <n v="10"/>
    <x v="0"/>
    <x v="19"/>
  </r>
  <r>
    <n v="2"/>
    <x v="0"/>
    <x v="55"/>
  </r>
  <r>
    <n v="10"/>
    <x v="0"/>
    <x v="22"/>
  </r>
  <r>
    <n v="10"/>
    <x v="0"/>
    <x v="23"/>
  </r>
  <r>
    <n v="25"/>
    <x v="0"/>
    <x v="68"/>
  </r>
  <r>
    <n v="5"/>
    <x v="0"/>
    <x v="24"/>
  </r>
  <r>
    <n v="10"/>
    <x v="0"/>
    <x v="25"/>
  </r>
  <r>
    <n v="5"/>
    <x v="0"/>
    <x v="44"/>
  </r>
  <r>
    <n v="25"/>
    <x v="0"/>
    <x v="27"/>
  </r>
  <r>
    <n v="13"/>
    <x v="0"/>
    <x v="28"/>
  </r>
  <r>
    <n v="5"/>
    <x v="0"/>
    <x v="47"/>
  </r>
  <r>
    <n v="20"/>
    <x v="0"/>
    <x v="48"/>
  </r>
  <r>
    <n v="25"/>
    <x v="0"/>
    <x v="59"/>
  </r>
  <r>
    <n v="40"/>
    <x v="0"/>
    <x v="1"/>
  </r>
  <r>
    <n v="5"/>
    <x v="0"/>
    <x v="30"/>
  </r>
  <r>
    <n v="10"/>
    <x v="0"/>
    <x v="3"/>
  </r>
  <r>
    <n v="33"/>
    <x v="0"/>
    <x v="4"/>
  </r>
  <r>
    <n v="40"/>
    <x v="0"/>
    <x v="5"/>
  </r>
  <r>
    <n v="35"/>
    <x v="0"/>
    <x v="31"/>
  </r>
  <r>
    <n v="40"/>
    <x v="0"/>
    <x v="7"/>
  </r>
  <r>
    <n v="50"/>
    <x v="0"/>
    <x v="8"/>
  </r>
  <r>
    <n v="2"/>
    <x v="0"/>
    <x v="60"/>
  </r>
  <r>
    <n v="10"/>
    <x v="0"/>
    <x v="10"/>
  </r>
  <r>
    <n v="1"/>
    <x v="0"/>
    <x v="32"/>
  </r>
  <r>
    <n v="25"/>
    <x v="0"/>
    <x v="11"/>
  </r>
  <r>
    <n v="25"/>
    <x v="0"/>
    <x v="13"/>
  </r>
  <r>
    <n v="40"/>
    <x v="0"/>
    <x v="82"/>
  </r>
  <r>
    <n v="45"/>
    <x v="0"/>
    <x v="33"/>
  </r>
  <r>
    <n v="40"/>
    <x v="0"/>
    <x v="34"/>
  </r>
  <r>
    <n v="40"/>
    <x v="0"/>
    <x v="36"/>
  </r>
  <r>
    <n v="40"/>
    <x v="0"/>
    <x v="37"/>
  </r>
  <r>
    <n v="40"/>
    <x v="0"/>
    <x v="62"/>
  </r>
  <r>
    <n v="24"/>
    <x v="0"/>
    <x v="64"/>
  </r>
  <r>
    <n v="10"/>
    <x v="0"/>
    <x v="65"/>
  </r>
  <r>
    <n v="5"/>
    <x v="0"/>
    <x v="38"/>
  </r>
  <r>
    <n v="25"/>
    <x v="0"/>
    <x v="17"/>
  </r>
  <r>
    <n v="50"/>
    <x v="0"/>
    <x v="18"/>
  </r>
  <r>
    <n v="40"/>
    <x v="0"/>
    <x v="19"/>
  </r>
  <r>
    <n v="1"/>
    <x v="0"/>
    <x v="55"/>
  </r>
  <r>
    <n v="2"/>
    <x v="0"/>
    <x v="83"/>
  </r>
  <r>
    <n v="10"/>
    <x v="0"/>
    <x v="20"/>
  </r>
  <r>
    <n v="1"/>
    <x v="0"/>
    <x v="21"/>
  </r>
  <r>
    <n v="20"/>
    <x v="0"/>
    <x v="43"/>
  </r>
  <r>
    <n v="25"/>
    <x v="0"/>
    <x v="68"/>
  </r>
  <r>
    <n v="10"/>
    <x v="0"/>
    <x v="77"/>
  </r>
  <r>
    <n v="2"/>
    <x v="0"/>
    <x v="70"/>
  </r>
  <r>
    <n v="10"/>
    <x v="0"/>
    <x v="84"/>
  </r>
  <r>
    <n v="2"/>
    <x v="0"/>
    <x v="44"/>
  </r>
  <r>
    <n v="2"/>
    <x v="0"/>
    <x v="45"/>
  </r>
  <r>
    <n v="30"/>
    <x v="0"/>
    <x v="57"/>
  </r>
  <r>
    <n v="35"/>
    <x v="0"/>
    <x v="27"/>
  </r>
  <r>
    <n v="66"/>
    <x v="0"/>
    <x v="28"/>
  </r>
  <r>
    <n v="40"/>
    <x v="0"/>
    <x v="48"/>
  </r>
  <r>
    <n v="60"/>
    <x v="0"/>
    <x v="1"/>
  </r>
  <r>
    <n v="7"/>
    <x v="0"/>
    <x v="30"/>
  </r>
  <r>
    <n v="7"/>
    <x v="0"/>
    <x v="4"/>
  </r>
  <r>
    <n v="25"/>
    <x v="0"/>
    <x v="31"/>
  </r>
  <r>
    <n v="35"/>
    <x v="0"/>
    <x v="8"/>
  </r>
  <r>
    <n v="10"/>
    <x v="0"/>
    <x v="10"/>
  </r>
  <r>
    <n v="25"/>
    <x v="0"/>
    <x v="11"/>
  </r>
  <r>
    <n v="25"/>
    <x v="0"/>
    <x v="13"/>
  </r>
  <r>
    <n v="2"/>
    <x v="0"/>
    <x v="14"/>
  </r>
  <r>
    <n v="60"/>
    <x v="0"/>
    <x v="34"/>
  </r>
  <r>
    <n v="20"/>
    <x v="0"/>
    <x v="37"/>
  </r>
  <r>
    <n v="40"/>
    <x v="0"/>
    <x v="19"/>
  </r>
  <r>
    <n v="40"/>
    <x v="0"/>
    <x v="41"/>
  </r>
  <r>
    <n v="7"/>
    <x v="0"/>
    <x v="23"/>
  </r>
  <r>
    <n v="50"/>
    <x v="0"/>
    <x v="25"/>
  </r>
  <r>
    <n v="30"/>
    <x v="0"/>
    <x v="46"/>
  </r>
  <r>
    <n v="50"/>
    <x v="0"/>
    <x v="27"/>
  </r>
  <r>
    <n v="55"/>
    <x v="0"/>
    <x v="28"/>
  </r>
  <r>
    <n v="5"/>
    <x v="0"/>
    <x v="47"/>
  </r>
  <r>
    <n v="65"/>
    <x v="0"/>
    <x v="48"/>
  </r>
  <r>
    <n v="45"/>
    <x v="0"/>
    <x v="1"/>
  </r>
  <r>
    <n v="1"/>
    <x v="0"/>
    <x v="85"/>
  </r>
  <r>
    <n v="25"/>
    <x v="0"/>
    <x v="31"/>
  </r>
  <r>
    <n v="65"/>
    <x v="0"/>
    <x v="7"/>
  </r>
  <r>
    <n v="25"/>
    <x v="0"/>
    <x v="8"/>
  </r>
  <r>
    <n v="10"/>
    <x v="0"/>
    <x v="60"/>
  </r>
  <r>
    <n v="15"/>
    <x v="0"/>
    <x v="11"/>
  </r>
  <r>
    <n v="15"/>
    <x v="0"/>
    <x v="13"/>
  </r>
  <r>
    <n v="10"/>
    <x v="0"/>
    <x v="36"/>
  </r>
  <r>
    <n v="10"/>
    <x v="0"/>
    <x v="37"/>
  </r>
  <r>
    <n v="45"/>
    <x v="0"/>
    <x v="19"/>
  </r>
  <r>
    <n v="35"/>
    <x v="0"/>
    <x v="41"/>
  </r>
  <r>
    <n v="10"/>
    <x v="0"/>
    <x v="23"/>
  </r>
  <r>
    <n v="25"/>
    <x v="0"/>
    <x v="43"/>
  </r>
  <r>
    <n v="55"/>
    <x v="0"/>
    <x v="25"/>
  </r>
  <r>
    <n v="10"/>
    <x v="0"/>
    <x v="77"/>
  </r>
  <r>
    <n v="22"/>
    <x v="0"/>
    <x v="27"/>
  </r>
  <r>
    <n v="1"/>
    <x v="2"/>
    <x v="1"/>
  </r>
  <r>
    <n v="5.5"/>
    <x v="2"/>
    <x v="3"/>
  </r>
  <r>
    <n v="0.5"/>
    <x v="2"/>
    <x v="31"/>
  </r>
  <r>
    <n v="1.5"/>
    <x v="2"/>
    <x v="7"/>
  </r>
  <r>
    <n v="0.5"/>
    <x v="2"/>
    <x v="60"/>
  </r>
  <r>
    <n v="5"/>
    <x v="0"/>
    <x v="86"/>
  </r>
  <r>
    <n v="65"/>
    <x v="0"/>
    <x v="37"/>
  </r>
  <r>
    <n v="1"/>
    <x v="2"/>
    <x v="19"/>
  </r>
  <r>
    <n v="0.5"/>
    <x v="2"/>
    <x v="41"/>
  </r>
  <r>
    <n v="1"/>
    <x v="3"/>
    <x v="25"/>
  </r>
  <r>
    <n v="15"/>
    <x v="4"/>
    <x v="70"/>
  </r>
  <r>
    <n v="2"/>
    <x v="2"/>
    <x v="27"/>
  </r>
  <r>
    <n v="300"/>
    <x v="0"/>
    <x v="28"/>
  </r>
  <r>
    <n v="1"/>
    <x v="2"/>
    <x v="47"/>
  </r>
  <r>
    <m/>
    <x v="5"/>
    <x v="8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92" firstHeaderRow="1" firstDataRow="2" firstDataCol="1"/>
  <pivotFields count="3">
    <pivotField dataField="1" showAll="0"/>
    <pivotField axis="axisCol" showAll="0" sortType="descending">
      <items count="13">
        <item h="1" x="5"/>
        <item h="1" m="1" x="11"/>
        <item x="0"/>
        <item h="1" m="1" x="9"/>
        <item h="1" m="1" x="10"/>
        <item h="1" m="1" x="7"/>
        <item h="1" m="1" x="8"/>
        <item h="1" x="1"/>
        <item h="1" m="1" x="6"/>
        <item h="1" x="4"/>
        <item h="1" x="2"/>
        <item h="1" x="3"/>
        <item t="default"/>
      </items>
    </pivotField>
    <pivotField axis="axisRow" showAll="0" sortType="ascending">
      <items count="205">
        <item m="1" x="105"/>
        <item x="0"/>
        <item m="1" x="99"/>
        <item x="74"/>
        <item x="48"/>
        <item m="1" x="88"/>
        <item x="29"/>
        <item m="1" x="116"/>
        <item x="58"/>
        <item x="59"/>
        <item m="1" x="177"/>
        <item m="1" x="115"/>
        <item x="1"/>
        <item x="78"/>
        <item m="1" x="144"/>
        <item m="1" x="129"/>
        <item x="73"/>
        <item m="1" x="127"/>
        <item x="85"/>
        <item x="49"/>
        <item m="1" x="190"/>
        <item x="30"/>
        <item m="1" x="156"/>
        <item x="2"/>
        <item m="1" x="117"/>
        <item m="1" x="118"/>
        <item x="3"/>
        <item m="1" x="97"/>
        <item x="4"/>
        <item m="1" x="107"/>
        <item m="1" x="175"/>
        <item x="5"/>
        <item x="6"/>
        <item m="1" x="94"/>
        <item x="75"/>
        <item m="1" x="100"/>
        <item x="31"/>
        <item x="7"/>
        <item x="8"/>
        <item x="79"/>
        <item x="9"/>
        <item x="60"/>
        <item x="50"/>
        <item x="10"/>
        <item x="51"/>
        <item m="1" x="113"/>
        <item m="1" x="168"/>
        <item m="1" x="101"/>
        <item x="32"/>
        <item m="1" x="109"/>
        <item m="1" x="152"/>
        <item x="11"/>
        <item m="1" x="184"/>
        <item x="12"/>
        <item m="1" x="203"/>
        <item x="52"/>
        <item m="1" x="108"/>
        <item x="13"/>
        <item m="1" x="198"/>
        <item m="1" x="131"/>
        <item m="1" x="178"/>
        <item m="1" x="89"/>
        <item m="1" x="98"/>
        <item x="81"/>
        <item x="61"/>
        <item x="86"/>
        <item m="1" x="104"/>
        <item x="14"/>
        <item m="1" x="171"/>
        <item x="76"/>
        <item m="1" x="167"/>
        <item m="1" x="143"/>
        <item m="1" x="95"/>
        <item x="82"/>
        <item m="1" x="174"/>
        <item m="1" x="160"/>
        <item x="33"/>
        <item x="53"/>
        <item m="1" x="176"/>
        <item m="1" x="90"/>
        <item x="34"/>
        <item m="1" x="140"/>
        <item m="1" x="180"/>
        <item m="1" x="110"/>
        <item m="1" x="106"/>
        <item x="35"/>
        <item x="54"/>
        <item x="15"/>
        <item x="36"/>
        <item x="16"/>
        <item m="1" x="158"/>
        <item m="1" x="161"/>
        <item m="1" x="199"/>
        <item x="37"/>
        <item m="1" x="142"/>
        <item m="1" x="119"/>
        <item x="62"/>
        <item x="63"/>
        <item m="1" x="141"/>
        <item x="64"/>
        <item m="1" x="91"/>
        <item m="1" x="137"/>
        <item x="65"/>
        <item m="1" x="154"/>
        <item m="1" x="181"/>
        <item x="38"/>
        <item x="17"/>
        <item m="1" x="120"/>
        <item m="1" x="126"/>
        <item m="1" x="189"/>
        <item m="1" x="201"/>
        <item x="18"/>
        <item x="19"/>
        <item m="1" x="128"/>
        <item x="39"/>
        <item x="40"/>
        <item x="55"/>
        <item m="1" x="182"/>
        <item m="1" x="183"/>
        <item x="83"/>
        <item m="1" x="153"/>
        <item x="41"/>
        <item m="1" x="147"/>
        <item m="1" x="148"/>
        <item m="1" x="150"/>
        <item m="1" x="170"/>
        <item x="20"/>
        <item m="1" x="200"/>
        <item x="21"/>
        <item m="1" x="162"/>
        <item m="1" x="172"/>
        <item m="1" x="134"/>
        <item m="1" x="155"/>
        <item x="22"/>
        <item m="1" x="132"/>
        <item m="1" x="173"/>
        <item x="42"/>
        <item m="1" x="159"/>
        <item x="66"/>
        <item m="1" x="135"/>
        <item m="1" x="130"/>
        <item x="23"/>
        <item x="67"/>
        <item m="1" x="194"/>
        <item m="1" x="102"/>
        <item m="1" x="196"/>
        <item m="1" x="195"/>
        <item m="1" x="186"/>
        <item x="56"/>
        <item m="1" x="163"/>
        <item m="1" x="145"/>
        <item x="43"/>
        <item m="1" x="188"/>
        <item m="1" x="151"/>
        <item m="1" x="193"/>
        <item m="1" x="136"/>
        <item m="1" x="187"/>
        <item m="1" x="191"/>
        <item m="1" x="164"/>
        <item x="68"/>
        <item x="69"/>
        <item m="1" x="139"/>
        <item x="24"/>
        <item x="25"/>
        <item m="1" x="96"/>
        <item m="1" x="146"/>
        <item x="77"/>
        <item m="1" x="125"/>
        <item m="1" x="92"/>
        <item m="1" x="114"/>
        <item m="1" x="111"/>
        <item m="1" x="192"/>
        <item m="1" x="202"/>
        <item m="1" x="197"/>
        <item m="1" x="93"/>
        <item m="1" x="138"/>
        <item m="1" x="103"/>
        <item x="70"/>
        <item m="1" x="185"/>
        <item m="1" x="121"/>
        <item x="84"/>
        <item x="44"/>
        <item x="71"/>
        <item x="26"/>
        <item m="1" x="157"/>
        <item x="80"/>
        <item m="1" x="179"/>
        <item x="72"/>
        <item m="1" x="165"/>
        <item x="45"/>
        <item m="1" x="169"/>
        <item x="46"/>
        <item x="57"/>
        <item m="1" x="124"/>
        <item m="1" x="133"/>
        <item x="27"/>
        <item m="1" x="149"/>
        <item m="1" x="166"/>
        <item m="1" x="122"/>
        <item m="1" x="112"/>
        <item m="1" x="123"/>
        <item x="28"/>
        <item x="47"/>
        <item x="87"/>
        <item t="default"/>
      </items>
    </pivotField>
  </pivotFields>
  <rowFields count="1">
    <field x="2"/>
  </rowFields>
  <rowItems count="88">
    <i>
      <x v="1"/>
    </i>
    <i>
      <x v="3"/>
    </i>
    <i>
      <x v="4"/>
    </i>
    <i>
      <x v="6"/>
    </i>
    <i>
      <x v="8"/>
    </i>
    <i>
      <x v="9"/>
    </i>
    <i>
      <x v="12"/>
    </i>
    <i>
      <x v="13"/>
    </i>
    <i>
      <x v="16"/>
    </i>
    <i>
      <x v="18"/>
    </i>
    <i>
      <x v="19"/>
    </i>
    <i>
      <x v="21"/>
    </i>
    <i>
      <x v="23"/>
    </i>
    <i>
      <x v="26"/>
    </i>
    <i>
      <x v="28"/>
    </i>
    <i>
      <x v="31"/>
    </i>
    <i>
      <x v="32"/>
    </i>
    <i>
      <x v="34"/>
    </i>
    <i>
      <x v="36"/>
    </i>
    <i>
      <x v="37"/>
    </i>
    <i>
      <x v="38"/>
    </i>
    <i>
      <x v="39"/>
    </i>
    <i>
      <x v="40"/>
    </i>
    <i>
      <x v="41"/>
    </i>
    <i>
      <x v="42"/>
    </i>
    <i>
      <x v="43"/>
    </i>
    <i>
      <x v="44"/>
    </i>
    <i>
      <x v="48"/>
    </i>
    <i>
      <x v="51"/>
    </i>
    <i>
      <x v="53"/>
    </i>
    <i>
      <x v="55"/>
    </i>
    <i>
      <x v="57"/>
    </i>
    <i>
      <x v="63"/>
    </i>
    <i>
      <x v="64"/>
    </i>
    <i>
      <x v="65"/>
    </i>
    <i>
      <x v="67"/>
    </i>
    <i>
      <x v="69"/>
    </i>
    <i>
      <x v="73"/>
    </i>
    <i>
      <x v="76"/>
    </i>
    <i>
      <x v="77"/>
    </i>
    <i>
      <x v="80"/>
    </i>
    <i>
      <x v="85"/>
    </i>
    <i>
      <x v="86"/>
    </i>
    <i>
      <x v="87"/>
    </i>
    <i>
      <x v="88"/>
    </i>
    <i>
      <x v="89"/>
    </i>
    <i>
      <x v="93"/>
    </i>
    <i>
      <x v="96"/>
    </i>
    <i>
      <x v="97"/>
    </i>
    <i>
      <x v="99"/>
    </i>
    <i>
      <x v="102"/>
    </i>
    <i>
      <x v="105"/>
    </i>
    <i>
      <x v="106"/>
    </i>
    <i>
      <x v="111"/>
    </i>
    <i>
      <x v="112"/>
    </i>
    <i>
      <x v="114"/>
    </i>
    <i>
      <x v="115"/>
    </i>
    <i>
      <x v="116"/>
    </i>
    <i>
      <x v="119"/>
    </i>
    <i>
      <x v="121"/>
    </i>
    <i>
      <x v="126"/>
    </i>
    <i>
      <x v="128"/>
    </i>
    <i>
      <x v="133"/>
    </i>
    <i>
      <x v="136"/>
    </i>
    <i>
      <x v="138"/>
    </i>
    <i>
      <x v="141"/>
    </i>
    <i>
      <x v="142"/>
    </i>
    <i>
      <x v="148"/>
    </i>
    <i>
      <x v="151"/>
    </i>
    <i>
      <x v="159"/>
    </i>
    <i>
      <x v="160"/>
    </i>
    <i>
      <x v="162"/>
    </i>
    <i>
      <x v="163"/>
    </i>
    <i>
      <x v="166"/>
    </i>
    <i>
      <x v="177"/>
    </i>
    <i>
      <x v="180"/>
    </i>
    <i>
      <x v="181"/>
    </i>
    <i>
      <x v="182"/>
    </i>
    <i>
      <x v="183"/>
    </i>
    <i>
      <x v="185"/>
    </i>
    <i>
      <x v="187"/>
    </i>
    <i>
      <x v="189"/>
    </i>
    <i>
      <x v="191"/>
    </i>
    <i>
      <x v="192"/>
    </i>
    <i>
      <x v="195"/>
    </i>
    <i>
      <x v="201"/>
    </i>
    <i>
      <x v="202"/>
    </i>
    <i t="grand">
      <x/>
    </i>
  </rowItems>
  <colFields count="1">
    <field x="1"/>
  </colFields>
  <colItems count="1">
    <i>
      <x v="2"/>
    </i>
  </colItems>
  <dataFields count="1">
    <dataField name="Items on Deck"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1F957-A743-458A-91DC-AB8675F83E62}" name="Day" cacheId="0" applyNumberFormats="0" applyBorderFormats="0" applyFontFormats="0" applyPatternFormats="0" applyAlignmentFormats="0" applyWidthHeightFormats="1" dataCaption="Values" updatedVersion="8" minRefreshableVersion="3" useAutoFormatting="1" colGrandTotals="0" itemPrintTitles="1" mergeItem="1" createdVersion="8" indent="0" outline="1" outlineData="1" multipleFieldFilters="0" colHeaderCaption="" fieldListSortAscending="1">
  <location ref="A3:B67" firstHeaderRow="1" firstDataRow="2" firstDataCol="1" rowPageCount="1" colPageCount="1"/>
  <pivotFields count="4">
    <pivotField dataField="1" showAll="0"/>
    <pivotField axis="axisCol" showAll="0" sortType="descending">
      <items count="6">
        <item h="1" x="2"/>
        <item x="0"/>
        <item m="1" x="4"/>
        <item m="1" x="3"/>
        <item h="1" x="1"/>
        <item t="default"/>
      </items>
    </pivotField>
    <pivotField axis="axisRow" showAll="0" sortType="ascending">
      <items count="90">
        <item m="1" x="81"/>
        <item x="55"/>
        <item x="0"/>
        <item x="28"/>
        <item m="1" x="79"/>
        <item m="1" x="84"/>
        <item m="1" x="70"/>
        <item x="1"/>
        <item m="1" x="74"/>
        <item x="2"/>
        <item x="37"/>
        <item x="3"/>
        <item m="1" x="71"/>
        <item x="4"/>
        <item x="5"/>
        <item m="1" x="76"/>
        <item m="1" x="65"/>
        <item x="6"/>
        <item m="1" x="82"/>
        <item x="29"/>
        <item x="7"/>
        <item x="8"/>
        <item x="38"/>
        <item x="9"/>
        <item x="10"/>
        <item x="30"/>
        <item m="1" x="86"/>
        <item x="39"/>
        <item x="11"/>
        <item x="12"/>
        <item m="1" x="69"/>
        <item x="13"/>
        <item x="40"/>
        <item m="1" x="72"/>
        <item x="41"/>
        <item m="1" x="66"/>
        <item m="1" x="83"/>
        <item x="42"/>
        <item x="43"/>
        <item x="44"/>
        <item x="45"/>
        <item x="46"/>
        <item x="54"/>
        <item x="56"/>
        <item x="14"/>
        <item m="1" x="77"/>
        <item x="15"/>
        <item x="31"/>
        <item x="47"/>
        <item x="48"/>
        <item x="58"/>
        <item x="49"/>
        <item x="32"/>
        <item x="16"/>
        <item x="17"/>
        <item m="1" x="80"/>
        <item m="1" x="67"/>
        <item x="57"/>
        <item x="18"/>
        <item x="50"/>
        <item m="1" x="75"/>
        <item x="51"/>
        <item x="52"/>
        <item x="19"/>
        <item m="1" x="85"/>
        <item m="1" x="87"/>
        <item m="1" x="78"/>
        <item x="20"/>
        <item x="33"/>
        <item x="34"/>
        <item x="35"/>
        <item x="21"/>
        <item m="1" x="68"/>
        <item x="53"/>
        <item x="59"/>
        <item x="60"/>
        <item m="1" x="88"/>
        <item x="62"/>
        <item m="1" x="73"/>
        <item x="61"/>
        <item x="22"/>
        <item x="36"/>
        <item x="23"/>
        <item x="24"/>
        <item x="63"/>
        <item x="25"/>
        <item x="26"/>
        <item x="27"/>
        <item x="64"/>
        <item t="default"/>
      </items>
    </pivotField>
    <pivotField axis="axisPage" multipleItemSelectionAllowed="1" showAll="0">
      <items count="30">
        <item m="1" x="28"/>
        <item m="1" x="26"/>
        <item m="1" x="25"/>
        <item m="1" x="27"/>
        <item m="1" x="23"/>
        <item m="1" x="24"/>
        <item x="7"/>
        <item m="1" x="14"/>
        <item m="1" x="15"/>
        <item m="1" x="16"/>
        <item m="1" x="17"/>
        <item m="1" x="18"/>
        <item m="1" x="19"/>
        <item m="1" x="20"/>
        <item m="1" x="21"/>
        <item m="1" x="22"/>
        <item m="1" x="9"/>
        <item m="1" x="10"/>
        <item m="1" x="11"/>
        <item m="1" x="12"/>
        <item m="1" x="13"/>
        <item m="1" x="8"/>
        <item x="0"/>
        <item x="1"/>
        <item x="2"/>
        <item x="3"/>
        <item x="4"/>
        <item x="5"/>
        <item x="6"/>
        <item t="default"/>
      </items>
    </pivotField>
  </pivotFields>
  <rowFields count="1">
    <field x="2"/>
  </rowFields>
  <rowItems count="63">
    <i>
      <x v="1"/>
    </i>
    <i>
      <x v="2"/>
    </i>
    <i>
      <x v="3"/>
    </i>
    <i>
      <x v="7"/>
    </i>
    <i>
      <x v="9"/>
    </i>
    <i>
      <x v="10"/>
    </i>
    <i>
      <x v="11"/>
    </i>
    <i>
      <x v="13"/>
    </i>
    <i>
      <x v="14"/>
    </i>
    <i>
      <x v="17"/>
    </i>
    <i>
      <x v="19"/>
    </i>
    <i>
      <x v="20"/>
    </i>
    <i>
      <x v="21"/>
    </i>
    <i>
      <x v="22"/>
    </i>
    <i>
      <x v="23"/>
    </i>
    <i>
      <x v="24"/>
    </i>
    <i>
      <x v="27"/>
    </i>
    <i>
      <x v="28"/>
    </i>
    <i>
      <x v="29"/>
    </i>
    <i>
      <x v="31"/>
    </i>
    <i>
      <x v="32"/>
    </i>
    <i>
      <x v="34"/>
    </i>
    <i>
      <x v="37"/>
    </i>
    <i>
      <x v="38"/>
    </i>
    <i>
      <x v="39"/>
    </i>
    <i>
      <x v="40"/>
    </i>
    <i>
      <x v="41"/>
    </i>
    <i>
      <x v="42"/>
    </i>
    <i>
      <x v="43"/>
    </i>
    <i>
      <x v="44"/>
    </i>
    <i>
      <x v="46"/>
    </i>
    <i>
      <x v="47"/>
    </i>
    <i>
      <x v="48"/>
    </i>
    <i>
      <x v="49"/>
    </i>
    <i>
      <x v="50"/>
    </i>
    <i>
      <x v="51"/>
    </i>
    <i>
      <x v="52"/>
    </i>
    <i>
      <x v="53"/>
    </i>
    <i>
      <x v="54"/>
    </i>
    <i>
      <x v="57"/>
    </i>
    <i>
      <x v="58"/>
    </i>
    <i>
      <x v="59"/>
    </i>
    <i>
      <x v="61"/>
    </i>
    <i>
      <x v="62"/>
    </i>
    <i>
      <x v="63"/>
    </i>
    <i>
      <x v="67"/>
    </i>
    <i>
      <x v="68"/>
    </i>
    <i>
      <x v="69"/>
    </i>
    <i>
      <x v="70"/>
    </i>
    <i>
      <x v="71"/>
    </i>
    <i>
      <x v="73"/>
    </i>
    <i>
      <x v="74"/>
    </i>
    <i>
      <x v="75"/>
    </i>
    <i>
      <x v="77"/>
    </i>
    <i>
      <x v="79"/>
    </i>
    <i>
      <x v="80"/>
    </i>
    <i>
      <x v="82"/>
    </i>
    <i>
      <x v="83"/>
    </i>
    <i>
      <x v="84"/>
    </i>
    <i>
      <x v="85"/>
    </i>
    <i>
      <x v="86"/>
    </i>
    <i>
      <x v="87"/>
    </i>
    <i t="grand">
      <x/>
    </i>
  </rowItems>
  <colFields count="1">
    <field x="1"/>
  </colFields>
  <colItems count="1">
    <i>
      <x v="1"/>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3"/>
  <sheetViews>
    <sheetView zoomScale="130" zoomScaleNormal="130" zoomScalePageLayoutView="130" workbookViewId="0">
      <pane ySplit="2" topLeftCell="A878" activePane="bottomLeft" state="frozen"/>
      <selection pane="bottomLeft" activeCell="A884" sqref="A884:XFD884"/>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1288</v>
      </c>
      <c r="F2" s="2" t="s">
        <v>6</v>
      </c>
      <c r="G2" s="2" t="s">
        <v>7</v>
      </c>
      <c r="I2" s="10" t="s">
        <v>8</v>
      </c>
    </row>
    <row r="3" spans="2:22" ht="12" customHeight="1" x14ac:dyDescent="0.2">
      <c r="B3" s="5" t="s">
        <v>9</v>
      </c>
      <c r="C3" s="1" t="s">
        <v>10</v>
      </c>
      <c r="D3" s="1" t="s">
        <v>11</v>
      </c>
      <c r="E3" s="35">
        <v>40</v>
      </c>
      <c r="F3" s="3" t="s">
        <v>12</v>
      </c>
      <c r="G3" s="1" t="s">
        <v>13</v>
      </c>
      <c r="I3" s="14" t="s">
        <v>14</v>
      </c>
      <c r="J3" s="71" t="s">
        <v>15</v>
      </c>
      <c r="K3" s="71"/>
      <c r="L3" s="71"/>
      <c r="M3" s="71"/>
      <c r="N3" s="71"/>
      <c r="O3" s="71"/>
      <c r="P3" s="71"/>
      <c r="Q3" s="71"/>
      <c r="R3" s="71"/>
      <c r="S3" s="71"/>
    </row>
    <row r="4" spans="2:22" ht="12" customHeight="1" x14ac:dyDescent="0.2">
      <c r="B4" s="1" t="s">
        <v>1138</v>
      </c>
      <c r="C4" s="1" t="s">
        <v>10</v>
      </c>
      <c r="D4" s="1" t="s">
        <v>11</v>
      </c>
      <c r="E4" s="35">
        <v>40</v>
      </c>
      <c r="F4" s="3" t="s">
        <v>19</v>
      </c>
      <c r="G4" s="1" t="s">
        <v>20</v>
      </c>
      <c r="I4" s="14" t="s">
        <v>21</v>
      </c>
      <c r="J4" s="71" t="s">
        <v>22</v>
      </c>
      <c r="K4" s="71"/>
      <c r="L4" s="71"/>
      <c r="M4" s="71"/>
      <c r="N4" s="71"/>
      <c r="O4" s="71"/>
      <c r="P4" s="71"/>
      <c r="Q4" s="71"/>
      <c r="R4" s="71"/>
      <c r="S4" s="71"/>
    </row>
    <row r="5" spans="2:22" ht="12" customHeight="1" x14ac:dyDescent="0.2">
      <c r="B5" s="5" t="s">
        <v>16</v>
      </c>
      <c r="C5" s="1" t="s">
        <v>17</v>
      </c>
      <c r="D5" s="1" t="s">
        <v>18</v>
      </c>
      <c r="E5" s="35">
        <v>40</v>
      </c>
      <c r="F5" s="3" t="s">
        <v>25</v>
      </c>
      <c r="G5" s="1" t="s">
        <v>26</v>
      </c>
      <c r="I5" s="14" t="s">
        <v>27</v>
      </c>
      <c r="J5" s="71" t="s">
        <v>28</v>
      </c>
      <c r="K5" s="71"/>
      <c r="L5" s="71"/>
      <c r="M5" s="71"/>
      <c r="N5" s="71"/>
      <c r="O5" s="71"/>
      <c r="P5" s="71"/>
      <c r="Q5" s="71"/>
      <c r="R5" s="71"/>
      <c r="S5" s="71"/>
    </row>
    <row r="6" spans="2:22" ht="12" customHeight="1" x14ac:dyDescent="0.2">
      <c r="B6" s="1" t="s">
        <v>56</v>
      </c>
      <c r="C6" s="1" t="s">
        <v>17</v>
      </c>
      <c r="D6" s="1" t="s">
        <v>18</v>
      </c>
      <c r="E6" s="35">
        <v>40</v>
      </c>
      <c r="F6" s="3" t="s">
        <v>31</v>
      </c>
      <c r="G6" s="1" t="s">
        <v>32</v>
      </c>
      <c r="J6" s="71"/>
      <c r="K6" s="71"/>
      <c r="L6" s="71"/>
      <c r="M6" s="71"/>
      <c r="N6" s="71"/>
      <c r="O6" s="71"/>
      <c r="P6" s="71"/>
      <c r="Q6" s="71"/>
      <c r="R6" s="71"/>
      <c r="S6" s="71"/>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71" t="s">
        <v>43</v>
      </c>
      <c r="K8" s="71"/>
      <c r="L8" s="71"/>
      <c r="M8" s="71"/>
      <c r="N8" s="71"/>
      <c r="O8" s="71"/>
      <c r="P8" s="71"/>
      <c r="Q8" s="71"/>
      <c r="R8" s="71"/>
      <c r="S8" s="71"/>
    </row>
    <row r="9" spans="2:22" ht="12" customHeight="1" x14ac:dyDescent="0.2">
      <c r="B9" s="1" t="s">
        <v>1139</v>
      </c>
      <c r="C9" s="1" t="s">
        <v>1140</v>
      </c>
      <c r="D9" s="1" t="s">
        <v>18</v>
      </c>
      <c r="E9" s="35">
        <v>40</v>
      </c>
      <c r="F9" s="3" t="s">
        <v>46</v>
      </c>
      <c r="G9" s="1" t="s">
        <v>47</v>
      </c>
      <c r="J9" s="71"/>
      <c r="K9" s="71"/>
      <c r="L9" s="71"/>
      <c r="M9" s="71"/>
      <c r="N9" s="71"/>
      <c r="O9" s="71"/>
      <c r="P9" s="71"/>
      <c r="Q9" s="71"/>
      <c r="R9" s="71"/>
      <c r="S9" s="71"/>
    </row>
    <row r="10" spans="2:22" ht="12" customHeight="1" x14ac:dyDescent="0.2">
      <c r="B10" s="5" t="s">
        <v>23</v>
      </c>
      <c r="C10" s="1" t="s">
        <v>24</v>
      </c>
      <c r="D10" s="1" t="s">
        <v>18</v>
      </c>
      <c r="E10" s="35">
        <v>40</v>
      </c>
      <c r="F10" s="7" t="s">
        <v>49</v>
      </c>
      <c r="G10" s="1" t="s">
        <v>50</v>
      </c>
      <c r="I10" s="14" t="s">
        <v>51</v>
      </c>
      <c r="J10" s="71" t="s">
        <v>52</v>
      </c>
      <c r="K10" s="71"/>
      <c r="L10" s="71"/>
      <c r="M10" s="71"/>
      <c r="N10" s="71"/>
      <c r="O10" s="71"/>
      <c r="P10" s="71"/>
      <c r="Q10" s="71"/>
      <c r="R10" s="71"/>
      <c r="S10" s="71"/>
    </row>
    <row r="11" spans="2:22" ht="12" customHeight="1" x14ac:dyDescent="0.2">
      <c r="B11" s="1" t="s">
        <v>1141</v>
      </c>
      <c r="C11" s="1" t="s">
        <v>24</v>
      </c>
      <c r="D11" s="1" t="s">
        <v>18</v>
      </c>
      <c r="E11" s="35">
        <v>40</v>
      </c>
      <c r="F11" s="7" t="s">
        <v>1186</v>
      </c>
      <c r="G11" s="1" t="s">
        <v>1187</v>
      </c>
      <c r="I11" s="14"/>
      <c r="J11" s="71"/>
      <c r="K11" s="71"/>
      <c r="L11" s="71"/>
      <c r="M11" s="71"/>
      <c r="N11" s="71"/>
      <c r="O11" s="71"/>
      <c r="P11" s="71"/>
      <c r="Q11" s="71"/>
      <c r="R11" s="71"/>
      <c r="S11" s="71"/>
    </row>
    <row r="12" spans="2:22" ht="12" customHeight="1" x14ac:dyDescent="0.2">
      <c r="B12" s="3" t="s">
        <v>64</v>
      </c>
      <c r="C12" s="1" t="s">
        <v>65</v>
      </c>
      <c r="D12" s="1" t="s">
        <v>18</v>
      </c>
      <c r="E12" s="35">
        <v>40</v>
      </c>
      <c r="F12" s="7" t="s">
        <v>1360</v>
      </c>
      <c r="G12" s="1" t="s">
        <v>47</v>
      </c>
      <c r="I12" s="14"/>
      <c r="J12" s="71"/>
      <c r="K12" s="71"/>
      <c r="L12" s="71"/>
      <c r="M12" s="71"/>
      <c r="N12" s="71"/>
      <c r="O12" s="71"/>
      <c r="P12" s="71"/>
      <c r="Q12" s="71"/>
      <c r="R12" s="71"/>
      <c r="S12" s="71"/>
    </row>
    <row r="13" spans="2:22" ht="12" customHeight="1" x14ac:dyDescent="0.2">
      <c r="B13" s="1" t="s">
        <v>68</v>
      </c>
      <c r="C13" s="1" t="s">
        <v>65</v>
      </c>
      <c r="D13" s="1" t="s">
        <v>18</v>
      </c>
      <c r="E13" s="35">
        <v>40</v>
      </c>
      <c r="F13"/>
      <c r="I13" s="14" t="s">
        <v>57</v>
      </c>
      <c r="J13" s="71" t="s">
        <v>58</v>
      </c>
      <c r="K13" s="71"/>
      <c r="L13" s="71"/>
      <c r="M13" s="71"/>
      <c r="N13" s="71"/>
      <c r="O13" s="71"/>
      <c r="P13" s="71"/>
      <c r="Q13" s="71"/>
      <c r="R13" s="71"/>
      <c r="S13" s="71"/>
      <c r="U13" s="4"/>
      <c r="V13" s="4"/>
    </row>
    <row r="14" spans="2:22" ht="12" customHeight="1" x14ac:dyDescent="0.2">
      <c r="B14" s="1" t="s">
        <v>71</v>
      </c>
      <c r="C14" s="1" t="s">
        <v>65</v>
      </c>
      <c r="D14" s="1" t="s">
        <v>18</v>
      </c>
      <c r="E14" s="35">
        <v>40</v>
      </c>
      <c r="F14"/>
      <c r="I14" s="14"/>
      <c r="J14" s="71"/>
      <c r="K14" s="71"/>
      <c r="L14" s="71"/>
      <c r="M14" s="71"/>
      <c r="N14" s="71"/>
      <c r="O14" s="71"/>
      <c r="P14" s="71"/>
      <c r="Q14" s="71"/>
      <c r="R14" s="71"/>
      <c r="S14" s="71"/>
      <c r="T14" s="4"/>
      <c r="U14" s="4"/>
      <c r="V14" s="4"/>
    </row>
    <row r="15" spans="2:22" ht="12" customHeight="1" x14ac:dyDescent="0.2">
      <c r="B15" s="5" t="s">
        <v>29</v>
      </c>
      <c r="C15" s="1" t="s">
        <v>30</v>
      </c>
      <c r="D15" s="1" t="s">
        <v>18</v>
      </c>
      <c r="E15" s="35">
        <v>40</v>
      </c>
      <c r="F15"/>
      <c r="I15" s="14" t="s">
        <v>62</v>
      </c>
      <c r="J15" s="1" t="s">
        <v>63</v>
      </c>
    </row>
    <row r="16" spans="2:22" ht="12" customHeight="1" x14ac:dyDescent="0.2">
      <c r="B16" s="3" t="s">
        <v>74</v>
      </c>
      <c r="C16" s="1" t="s">
        <v>30</v>
      </c>
      <c r="D16" s="1" t="s">
        <v>18</v>
      </c>
      <c r="E16" s="35">
        <v>40</v>
      </c>
      <c r="F16"/>
      <c r="I16" s="14" t="s">
        <v>66</v>
      </c>
      <c r="J16" s="1" t="s">
        <v>67</v>
      </c>
    </row>
    <row r="17" spans="2:19" ht="12" customHeight="1" x14ac:dyDescent="0.2">
      <c r="B17" s="3" t="s">
        <v>77</v>
      </c>
      <c r="C17" s="1" t="s">
        <v>30</v>
      </c>
      <c r="D17" s="1" t="s">
        <v>18</v>
      </c>
      <c r="E17" s="35">
        <v>40</v>
      </c>
      <c r="F17"/>
      <c r="I17" s="14" t="s">
        <v>69</v>
      </c>
      <c r="J17" s="1" t="s">
        <v>70</v>
      </c>
    </row>
    <row r="18" spans="2:19" ht="12" customHeight="1" x14ac:dyDescent="0.2">
      <c r="B18" s="1" t="s">
        <v>80</v>
      </c>
      <c r="C18" s="1" t="s">
        <v>30</v>
      </c>
      <c r="D18" s="1" t="s">
        <v>18</v>
      </c>
      <c r="E18" s="35">
        <v>40</v>
      </c>
      <c r="F18"/>
      <c r="I18" s="14" t="s">
        <v>72</v>
      </c>
      <c r="J18" s="1" t="s">
        <v>73</v>
      </c>
    </row>
    <row r="19" spans="2:19" ht="12" customHeight="1" x14ac:dyDescent="0.2">
      <c r="B19" s="5" t="s">
        <v>33</v>
      </c>
      <c r="C19" s="1" t="s">
        <v>34</v>
      </c>
      <c r="D19" s="1" t="s">
        <v>18</v>
      </c>
      <c r="E19" s="35">
        <v>40</v>
      </c>
      <c r="F19"/>
      <c r="I19" s="14" t="s">
        <v>75</v>
      </c>
      <c r="J19" s="1" t="s">
        <v>76</v>
      </c>
    </row>
    <row r="20" spans="2:19" ht="12" customHeight="1" x14ac:dyDescent="0.2">
      <c r="B20" s="5" t="s">
        <v>39</v>
      </c>
      <c r="C20" s="1" t="s">
        <v>34</v>
      </c>
      <c r="D20" s="1" t="s">
        <v>18</v>
      </c>
      <c r="E20" s="35">
        <v>40</v>
      </c>
      <c r="F20"/>
      <c r="I20" s="14" t="s">
        <v>78</v>
      </c>
      <c r="J20" s="1" t="s">
        <v>79</v>
      </c>
    </row>
    <row r="21" spans="2:19" ht="12" customHeight="1" x14ac:dyDescent="0.2">
      <c r="B21" s="1" t="s">
        <v>81</v>
      </c>
      <c r="C21" s="1" t="s">
        <v>34</v>
      </c>
      <c r="D21" s="1" t="s">
        <v>18</v>
      </c>
      <c r="E21" s="35">
        <v>40</v>
      </c>
      <c r="F21"/>
    </row>
    <row r="22" spans="2:19" ht="12" customHeight="1" x14ac:dyDescent="0.2">
      <c r="B22" s="3" t="s">
        <v>83</v>
      </c>
      <c r="C22" s="1" t="s">
        <v>34</v>
      </c>
      <c r="D22" s="1" t="s">
        <v>18</v>
      </c>
      <c r="E22" s="35">
        <v>40</v>
      </c>
      <c r="F22"/>
      <c r="I22" s="15" t="s">
        <v>82</v>
      </c>
    </row>
    <row r="23" spans="2:19" ht="12" customHeight="1" x14ac:dyDescent="0.2">
      <c r="B23" s="1" t="s">
        <v>85</v>
      </c>
      <c r="C23" s="1" t="s">
        <v>34</v>
      </c>
      <c r="D23" s="1" t="s">
        <v>18</v>
      </c>
      <c r="E23" s="35">
        <v>40</v>
      </c>
      <c r="F23"/>
      <c r="I23" s="9" t="s">
        <v>14</v>
      </c>
      <c r="J23" s="1" t="s">
        <v>84</v>
      </c>
    </row>
    <row r="24" spans="2:19" ht="12" customHeight="1" x14ac:dyDescent="0.2">
      <c r="B24" s="1" t="s">
        <v>88</v>
      </c>
      <c r="C24" s="1" t="s">
        <v>89</v>
      </c>
      <c r="D24" s="1" t="s">
        <v>18</v>
      </c>
      <c r="E24" s="35">
        <v>40</v>
      </c>
      <c r="F24"/>
      <c r="I24" s="9" t="s">
        <v>86</v>
      </c>
      <c r="J24" s="71" t="s">
        <v>87</v>
      </c>
      <c r="K24" s="71"/>
      <c r="L24" s="71"/>
      <c r="M24" s="71"/>
      <c r="N24" s="71"/>
      <c r="O24" s="71"/>
      <c r="P24" s="71"/>
      <c r="Q24" s="71"/>
      <c r="R24" s="71"/>
      <c r="S24" s="71"/>
    </row>
    <row r="25" spans="2:19" ht="12" customHeight="1" x14ac:dyDescent="0.2">
      <c r="B25" s="5" t="s">
        <v>44</v>
      </c>
      <c r="C25" s="1" t="s">
        <v>45</v>
      </c>
      <c r="D25" s="1" t="s">
        <v>18</v>
      </c>
      <c r="E25" s="35">
        <v>40</v>
      </c>
      <c r="F25"/>
      <c r="I25" s="9"/>
      <c r="J25" s="71"/>
      <c r="K25" s="71"/>
      <c r="L25" s="71"/>
      <c r="M25" s="71"/>
      <c r="N25" s="71"/>
      <c r="O25" s="71"/>
      <c r="P25" s="71"/>
      <c r="Q25" s="71"/>
      <c r="R25" s="71"/>
      <c r="S25" s="71"/>
    </row>
    <row r="26" spans="2:19" ht="12" customHeight="1" x14ac:dyDescent="0.2">
      <c r="B26" s="5" t="s">
        <v>48</v>
      </c>
      <c r="C26" s="1" t="s">
        <v>45</v>
      </c>
      <c r="D26" s="1" t="s">
        <v>18</v>
      </c>
      <c r="E26" s="35">
        <v>40</v>
      </c>
      <c r="F26"/>
      <c r="I26" s="9" t="s">
        <v>91</v>
      </c>
      <c r="J26" s="71" t="s">
        <v>92</v>
      </c>
      <c r="K26" s="71"/>
      <c r="L26" s="71"/>
      <c r="M26" s="71"/>
      <c r="N26" s="71"/>
      <c r="O26" s="71"/>
      <c r="P26" s="71"/>
      <c r="Q26" s="71"/>
      <c r="R26" s="71"/>
      <c r="S26" s="71"/>
    </row>
    <row r="27" spans="2:19" ht="12" customHeight="1" x14ac:dyDescent="0.2">
      <c r="B27" s="1" t="s">
        <v>90</v>
      </c>
      <c r="C27" s="1" t="s">
        <v>45</v>
      </c>
      <c r="D27" s="1" t="s">
        <v>18</v>
      </c>
      <c r="E27" s="35">
        <v>40</v>
      </c>
      <c r="F27"/>
      <c r="I27" s="9"/>
      <c r="J27" s="71"/>
      <c r="K27" s="71"/>
      <c r="L27" s="71"/>
      <c r="M27" s="71"/>
      <c r="N27" s="71"/>
      <c r="O27" s="71"/>
      <c r="P27" s="71"/>
      <c r="Q27" s="71"/>
      <c r="R27" s="71"/>
      <c r="S27" s="71"/>
    </row>
    <row r="28" spans="2:19" ht="12" customHeight="1" x14ac:dyDescent="0.2">
      <c r="B28" s="1" t="s">
        <v>93</v>
      </c>
      <c r="C28" s="1" t="s">
        <v>45</v>
      </c>
      <c r="D28" s="1" t="s">
        <v>18</v>
      </c>
      <c r="E28" s="35">
        <v>40</v>
      </c>
      <c r="F28"/>
      <c r="I28" s="9" t="s">
        <v>95</v>
      </c>
      <c r="J28" s="71" t="s">
        <v>96</v>
      </c>
      <c r="K28" s="71"/>
      <c r="L28" s="71"/>
      <c r="M28" s="71"/>
      <c r="N28" s="71"/>
      <c r="O28" s="71"/>
      <c r="P28" s="71"/>
      <c r="Q28" s="71"/>
      <c r="R28" s="71"/>
      <c r="S28" s="71"/>
    </row>
    <row r="29" spans="2:19" ht="12.75" x14ac:dyDescent="0.2">
      <c r="B29" s="5" t="s">
        <v>53</v>
      </c>
      <c r="C29" s="1" t="s">
        <v>54</v>
      </c>
      <c r="D29" s="1" t="s">
        <v>18</v>
      </c>
      <c r="E29" s="35">
        <v>40</v>
      </c>
      <c r="F29"/>
      <c r="I29" s="9"/>
      <c r="J29" s="71"/>
      <c r="K29" s="71"/>
      <c r="L29" s="71"/>
      <c r="M29" s="71"/>
      <c r="N29" s="71"/>
      <c r="O29" s="71"/>
      <c r="P29" s="71"/>
      <c r="Q29" s="71"/>
      <c r="R29" s="71"/>
      <c r="S29" s="71"/>
    </row>
    <row r="30" spans="2:19" ht="12.75" x14ac:dyDescent="0.2">
      <c r="B30" s="5" t="s">
        <v>55</v>
      </c>
      <c r="C30" s="1" t="s">
        <v>54</v>
      </c>
      <c r="D30" s="1" t="s">
        <v>18</v>
      </c>
      <c r="E30" s="35">
        <v>40</v>
      </c>
      <c r="F30"/>
      <c r="I30" s="9" t="s">
        <v>101</v>
      </c>
      <c r="J30" s="71" t="s">
        <v>102</v>
      </c>
      <c r="K30" s="71"/>
      <c r="L30" s="71"/>
      <c r="M30" s="71"/>
      <c r="N30" s="71"/>
      <c r="O30" s="71"/>
      <c r="P30" s="71"/>
      <c r="Q30" s="71"/>
      <c r="R30" s="71"/>
      <c r="S30" s="71"/>
    </row>
    <row r="31" spans="2:19" ht="12.75" x14ac:dyDescent="0.2">
      <c r="B31" s="3" t="s">
        <v>94</v>
      </c>
      <c r="C31" s="1" t="s">
        <v>54</v>
      </c>
      <c r="D31" s="1" t="s">
        <v>18</v>
      </c>
      <c r="E31" s="35">
        <v>40</v>
      </c>
      <c r="F31"/>
      <c r="I31" s="9"/>
      <c r="J31" s="71"/>
      <c r="K31" s="71"/>
      <c r="L31" s="71"/>
      <c r="M31" s="71"/>
      <c r="N31" s="71"/>
      <c r="O31" s="71"/>
      <c r="P31" s="71"/>
      <c r="Q31" s="71"/>
      <c r="R31" s="71"/>
      <c r="S31" s="71"/>
    </row>
    <row r="32" spans="2:19" ht="12.75" x14ac:dyDescent="0.2">
      <c r="B32" s="1" t="s">
        <v>1282</v>
      </c>
      <c r="C32" s="1" t="s">
        <v>54</v>
      </c>
      <c r="D32" s="1" t="s">
        <v>18</v>
      </c>
      <c r="E32" s="35">
        <v>40</v>
      </c>
      <c r="F32"/>
      <c r="I32" s="9" t="s">
        <v>21</v>
      </c>
      <c r="J32" s="1" t="s">
        <v>107</v>
      </c>
    </row>
    <row r="33" spans="2:19" ht="12.75" x14ac:dyDescent="0.2">
      <c r="B33" s="1" t="s">
        <v>97</v>
      </c>
      <c r="C33" s="1" t="s">
        <v>98</v>
      </c>
      <c r="D33" s="1" t="s">
        <v>18</v>
      </c>
      <c r="E33" s="35">
        <v>40</v>
      </c>
      <c r="F33"/>
      <c r="I33" s="9" t="s">
        <v>27</v>
      </c>
      <c r="J33" s="71" t="s">
        <v>110</v>
      </c>
      <c r="K33" s="71"/>
      <c r="L33" s="71"/>
      <c r="M33" s="71"/>
      <c r="N33" s="71"/>
      <c r="O33" s="71"/>
      <c r="P33" s="71"/>
      <c r="Q33" s="71"/>
      <c r="R33" s="71"/>
      <c r="S33" s="71"/>
    </row>
    <row r="34" spans="2:19" ht="12.75" x14ac:dyDescent="0.2">
      <c r="B34" s="1" t="s">
        <v>1122</v>
      </c>
      <c r="C34" s="1" t="s">
        <v>1123</v>
      </c>
      <c r="D34" s="1" t="s">
        <v>18</v>
      </c>
      <c r="E34" s="35">
        <v>40</v>
      </c>
      <c r="F34"/>
      <c r="I34" s="9"/>
      <c r="J34" s="71"/>
      <c r="K34" s="71"/>
      <c r="L34" s="71"/>
      <c r="M34" s="71"/>
      <c r="N34" s="71"/>
      <c r="O34" s="71"/>
      <c r="P34" s="71"/>
      <c r="Q34" s="71"/>
      <c r="R34" s="71"/>
      <c r="S34" s="71"/>
    </row>
    <row r="35" spans="2:19" ht="12.75" x14ac:dyDescent="0.2">
      <c r="B35" s="1" t="s">
        <v>1042</v>
      </c>
      <c r="C35" s="1" t="s">
        <v>1043</v>
      </c>
      <c r="D35" s="1" t="s">
        <v>18</v>
      </c>
      <c r="E35" s="35">
        <v>40</v>
      </c>
      <c r="F35"/>
      <c r="I35" s="9" t="s">
        <v>37</v>
      </c>
      <c r="J35" s="71" t="s">
        <v>115</v>
      </c>
      <c r="K35" s="71"/>
      <c r="L35" s="71"/>
      <c r="M35" s="71"/>
      <c r="N35" s="71"/>
      <c r="O35" s="71"/>
      <c r="P35" s="71"/>
      <c r="Q35" s="71"/>
      <c r="R35" s="71"/>
      <c r="S35" s="71"/>
    </row>
    <row r="36" spans="2:19" ht="12.75" x14ac:dyDescent="0.2">
      <c r="B36" s="1" t="s">
        <v>1067</v>
      </c>
      <c r="C36" s="1" t="s">
        <v>1043</v>
      </c>
      <c r="D36" s="1" t="s">
        <v>18</v>
      </c>
      <c r="E36" s="35">
        <v>40</v>
      </c>
      <c r="F36"/>
      <c r="J36" s="71"/>
      <c r="K36" s="71"/>
      <c r="L36" s="71"/>
      <c r="M36" s="71"/>
      <c r="N36" s="71"/>
      <c r="O36" s="71"/>
      <c r="P36" s="71"/>
      <c r="Q36" s="71"/>
      <c r="R36" s="71"/>
      <c r="S36" s="71"/>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1271</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1260</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1222</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1270</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8" t="s">
        <v>1273</v>
      </c>
      <c r="C97" s="54" t="s">
        <v>1274</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1208</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1255</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1212</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1225</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1246</v>
      </c>
      <c r="C224" s="1" t="s">
        <v>1247</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1228</v>
      </c>
      <c r="C248" s="1" t="s">
        <v>1229</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1221</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1226</v>
      </c>
      <c r="C275" s="1" t="s">
        <v>374</v>
      </c>
      <c r="D275" s="1" t="s">
        <v>18</v>
      </c>
      <c r="E275" s="35">
        <v>40</v>
      </c>
      <c r="F275"/>
    </row>
    <row r="276" spans="2:6" ht="12.75" x14ac:dyDescent="0.2">
      <c r="B276" s="3" t="s">
        <v>380</v>
      </c>
      <c r="C276" s="1" t="s">
        <v>381</v>
      </c>
      <c r="D276" s="1" t="s">
        <v>18</v>
      </c>
      <c r="E276" s="35">
        <v>40</v>
      </c>
      <c r="F276"/>
    </row>
    <row r="277" spans="2:6" ht="12.75" x14ac:dyDescent="0.2">
      <c r="B277" s="1" t="s">
        <v>1238</v>
      </c>
      <c r="C277" s="1" t="s">
        <v>381</v>
      </c>
      <c r="D277" s="1" t="s">
        <v>18</v>
      </c>
      <c r="E277" s="35">
        <v>40</v>
      </c>
      <c r="F277"/>
    </row>
    <row r="278" spans="2:6" ht="12.75" x14ac:dyDescent="0.2">
      <c r="B278" s="1" t="s">
        <v>1230</v>
      </c>
      <c r="C278" s="1" t="s">
        <v>1231</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1214</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1239</v>
      </c>
      <c r="C305" s="1" t="s">
        <v>405</v>
      </c>
      <c r="D305" s="1" t="s">
        <v>18</v>
      </c>
      <c r="E305" s="35">
        <v>16</v>
      </c>
      <c r="F305"/>
    </row>
    <row r="306" spans="2:6" ht="12.75" x14ac:dyDescent="0.2">
      <c r="B306" s="1" t="s">
        <v>1258</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1287</v>
      </c>
      <c r="C317" s="7" t="s">
        <v>1287</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1215</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1207</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1264</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1253</v>
      </c>
      <c r="C353" s="1" t="s">
        <v>1254</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1269</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1244</v>
      </c>
      <c r="C439" s="1" t="s">
        <v>1245</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1216</v>
      </c>
      <c r="C448" s="1" t="s">
        <v>581</v>
      </c>
      <c r="D448" s="1" t="s">
        <v>18</v>
      </c>
      <c r="E448" s="35">
        <v>40</v>
      </c>
      <c r="F448"/>
    </row>
    <row r="449" spans="2:6" ht="12.75" x14ac:dyDescent="0.2">
      <c r="B449" s="1" t="s">
        <v>1234</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1249</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1218</v>
      </c>
      <c r="C472" s="1" t="s">
        <v>601</v>
      </c>
      <c r="D472" s="1" t="s">
        <v>18</v>
      </c>
      <c r="E472" s="35">
        <v>8</v>
      </c>
      <c r="F472"/>
    </row>
    <row r="473" spans="2:6" ht="12.75" x14ac:dyDescent="0.2">
      <c r="B473" s="1" t="s">
        <v>1281</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1213</v>
      </c>
      <c r="C480" s="1" t="s">
        <v>1217</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9" t="s">
        <v>1276</v>
      </c>
      <c r="C501" s="1" t="s">
        <v>1277</v>
      </c>
      <c r="D501" s="1" t="s">
        <v>11</v>
      </c>
      <c r="E501" s="35">
        <v>30</v>
      </c>
      <c r="F501"/>
    </row>
    <row r="502" spans="2:6" ht="12.75" x14ac:dyDescent="0.2">
      <c r="B502" s="1" t="s">
        <v>1279</v>
      </c>
      <c r="C502" s="1" t="s">
        <v>1277</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1250</v>
      </c>
      <c r="C505" s="1" t="s">
        <v>1251</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1284</v>
      </c>
      <c r="C513" s="1" t="s">
        <v>1285</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1224</v>
      </c>
      <c r="C523" s="1" t="s">
        <v>663</v>
      </c>
      <c r="D523" s="1" t="s">
        <v>11</v>
      </c>
      <c r="E523" s="35">
        <v>10</v>
      </c>
      <c r="F523"/>
    </row>
    <row r="524" spans="2:6" ht="12.75" x14ac:dyDescent="0.2">
      <c r="B524" s="5" t="s">
        <v>673</v>
      </c>
      <c r="C524" s="1" t="s">
        <v>1233</v>
      </c>
      <c r="D524" s="1" t="s">
        <v>11</v>
      </c>
      <c r="E524" s="35">
        <v>10</v>
      </c>
      <c r="F524"/>
    </row>
    <row r="525" spans="2:6" ht="12.75" x14ac:dyDescent="0.2">
      <c r="B525" s="1" t="s">
        <v>1236</v>
      </c>
      <c r="C525" s="1" t="s">
        <v>1237</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1262</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1263</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1278</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1266</v>
      </c>
      <c r="C591" s="1" t="s">
        <v>1268</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1240</v>
      </c>
      <c r="C600" s="1" t="s">
        <v>758</v>
      </c>
      <c r="D600" s="1" t="s">
        <v>18</v>
      </c>
      <c r="E600" s="35">
        <v>28</v>
      </c>
    </row>
    <row r="601" spans="2:5" x14ac:dyDescent="0.2">
      <c r="B601" s="1" t="s">
        <v>759</v>
      </c>
      <c r="C601" s="1" t="s">
        <v>760</v>
      </c>
      <c r="D601" s="1" t="s">
        <v>18</v>
      </c>
      <c r="E601" s="35">
        <v>30</v>
      </c>
    </row>
    <row r="602" spans="2:5" x14ac:dyDescent="0.2">
      <c r="B602" s="58" t="s">
        <v>1272</v>
      </c>
      <c r="C602" s="58" t="s">
        <v>1272</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1241</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1242</v>
      </c>
      <c r="C643" s="1" t="s">
        <v>1243</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1256</v>
      </c>
      <c r="C647" s="1" t="s">
        <v>1257</v>
      </c>
      <c r="D647" s="1" t="s">
        <v>18</v>
      </c>
      <c r="E647" s="35">
        <v>10</v>
      </c>
    </row>
    <row r="648" spans="2:5" x14ac:dyDescent="0.2">
      <c r="B648" s="5" t="s">
        <v>818</v>
      </c>
      <c r="C648" s="1" t="s">
        <v>819</v>
      </c>
      <c r="D648" s="1" t="s">
        <v>11</v>
      </c>
      <c r="E648" s="35">
        <v>10</v>
      </c>
    </row>
    <row r="649" spans="2:5" x14ac:dyDescent="0.2">
      <c r="B649" s="1" t="s">
        <v>1219</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1211</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1202</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8" t="s">
        <v>1275</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1267</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1223</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1232</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1261</v>
      </c>
      <c r="C759" s="1" t="s">
        <v>938</v>
      </c>
      <c r="D759" s="1" t="s">
        <v>11</v>
      </c>
      <c r="E759" s="35">
        <v>2.2000000000000002</v>
      </c>
    </row>
    <row r="760" spans="2:5" x14ac:dyDescent="0.2">
      <c r="B760" s="7" t="s">
        <v>1286</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1227</v>
      </c>
      <c r="C796" s="1" t="s">
        <v>984</v>
      </c>
      <c r="D796" s="1" t="s">
        <v>11</v>
      </c>
      <c r="E796" s="35">
        <v>20</v>
      </c>
    </row>
    <row r="797" spans="2:5" x14ac:dyDescent="0.2">
      <c r="B797" s="1" t="s">
        <v>985</v>
      </c>
      <c r="C797" s="1" t="s">
        <v>986</v>
      </c>
      <c r="D797" s="1" t="s">
        <v>11</v>
      </c>
      <c r="E797" s="35">
        <v>30</v>
      </c>
    </row>
    <row r="798" spans="2:5" x14ac:dyDescent="0.2">
      <c r="B798" s="1" t="s">
        <v>1259</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1280</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1291</v>
      </c>
      <c r="C820" s="1" t="s">
        <v>1292</v>
      </c>
      <c r="D820" s="1" t="s">
        <v>11</v>
      </c>
      <c r="E820" s="35">
        <v>10</v>
      </c>
    </row>
    <row r="821" spans="2:5" x14ac:dyDescent="0.2">
      <c r="B821" s="1" t="s">
        <v>1289</v>
      </c>
      <c r="C821" s="1" t="s">
        <v>642</v>
      </c>
      <c r="D821" s="1" t="s">
        <v>11</v>
      </c>
      <c r="E821" s="35">
        <v>10</v>
      </c>
    </row>
    <row r="822" spans="2:5" x14ac:dyDescent="0.2">
      <c r="B822" s="1" t="s">
        <v>1290</v>
      </c>
      <c r="C822" s="1" t="s">
        <v>647</v>
      </c>
      <c r="D822" s="1" t="s">
        <v>11</v>
      </c>
      <c r="E822" s="35">
        <v>10</v>
      </c>
    </row>
    <row r="823" spans="2:5" x14ac:dyDescent="0.2">
      <c r="B823" s="1" t="s">
        <v>1293</v>
      </c>
      <c r="C823" s="1" t="s">
        <v>1294</v>
      </c>
      <c r="D823" s="1" t="s">
        <v>11</v>
      </c>
      <c r="E823" s="35">
        <v>2.2000000000000002</v>
      </c>
    </row>
    <row r="824" spans="2:5" x14ac:dyDescent="0.2">
      <c r="B824" s="1" t="s">
        <v>1296</v>
      </c>
      <c r="C824" s="1" t="s">
        <v>1297</v>
      </c>
      <c r="D824" s="1" t="s">
        <v>11</v>
      </c>
      <c r="E824" s="35">
        <v>25</v>
      </c>
    </row>
    <row r="825" spans="2:5" x14ac:dyDescent="0.2">
      <c r="B825" s="60" t="s">
        <v>1298</v>
      </c>
      <c r="C825" s="1" t="s">
        <v>1299</v>
      </c>
      <c r="D825" s="1" t="s">
        <v>18</v>
      </c>
      <c r="E825" s="35">
        <v>35</v>
      </c>
    </row>
    <row r="826" spans="2:5" x14ac:dyDescent="0.2">
      <c r="B826" s="60" t="s">
        <v>1301</v>
      </c>
      <c r="C826" s="1" t="s">
        <v>1302</v>
      </c>
      <c r="D826" s="1" t="s">
        <v>11</v>
      </c>
      <c r="E826" s="35">
        <v>8</v>
      </c>
    </row>
    <row r="827" spans="2:5" x14ac:dyDescent="0.2">
      <c r="B827" s="60" t="s">
        <v>1300</v>
      </c>
      <c r="C827" s="1" t="s">
        <v>1303</v>
      </c>
      <c r="D827" s="1" t="s">
        <v>11</v>
      </c>
      <c r="E827" s="35">
        <v>30</v>
      </c>
    </row>
    <row r="828" spans="2:5" x14ac:dyDescent="0.2">
      <c r="B828" s="1" t="s">
        <v>1306</v>
      </c>
      <c r="C828" s="1" t="s">
        <v>1307</v>
      </c>
      <c r="D828" s="1" t="s">
        <v>11</v>
      </c>
      <c r="E828" s="35">
        <v>25</v>
      </c>
    </row>
    <row r="829" spans="2:5" x14ac:dyDescent="0.2">
      <c r="B829" s="1" t="s">
        <v>1308</v>
      </c>
      <c r="C829" s="1" t="s">
        <v>654</v>
      </c>
      <c r="D829" s="1" t="s">
        <v>11</v>
      </c>
      <c r="E829" s="35">
        <v>25</v>
      </c>
    </row>
    <row r="830" spans="2:5" x14ac:dyDescent="0.2">
      <c r="B830" s="1" t="s">
        <v>1309</v>
      </c>
      <c r="C830" s="1" t="s">
        <v>649</v>
      </c>
      <c r="D830" s="1" t="s">
        <v>11</v>
      </c>
      <c r="E830" s="35">
        <v>25</v>
      </c>
    </row>
    <row r="831" spans="2:5" x14ac:dyDescent="0.2">
      <c r="B831" s="1" t="s">
        <v>1315</v>
      </c>
      <c r="C831" s="1" t="s">
        <v>1129</v>
      </c>
      <c r="D831" s="1" t="s">
        <v>18</v>
      </c>
      <c r="E831" s="35">
        <v>8</v>
      </c>
    </row>
    <row r="832" spans="2:5" x14ac:dyDescent="0.2">
      <c r="B832" s="1" t="s">
        <v>738</v>
      </c>
      <c r="C832" s="1" t="s">
        <v>1316</v>
      </c>
      <c r="D832" s="1" t="s">
        <v>18</v>
      </c>
      <c r="E832" s="35">
        <v>20</v>
      </c>
    </row>
    <row r="833" spans="2:5" x14ac:dyDescent="0.2">
      <c r="B833" s="1" t="s">
        <v>1310</v>
      </c>
      <c r="C833" s="1" t="s">
        <v>654</v>
      </c>
      <c r="D833" s="1" t="s">
        <v>11</v>
      </c>
      <c r="E833" s="35">
        <v>25</v>
      </c>
    </row>
    <row r="834" spans="2:5" x14ac:dyDescent="0.2">
      <c r="B834" s="1" t="s">
        <v>1312</v>
      </c>
      <c r="C834" s="1" t="s">
        <v>1317</v>
      </c>
      <c r="D834" s="1" t="s">
        <v>11</v>
      </c>
      <c r="E834" s="35">
        <v>50</v>
      </c>
    </row>
    <row r="835" spans="2:5" x14ac:dyDescent="0.2">
      <c r="B835" s="1" t="s">
        <v>1313</v>
      </c>
      <c r="C835" s="1" t="s">
        <v>1318</v>
      </c>
      <c r="D835" s="1" t="s">
        <v>18</v>
      </c>
      <c r="E835" s="35">
        <v>8</v>
      </c>
    </row>
    <row r="836" spans="2:5" x14ac:dyDescent="0.2">
      <c r="B836" s="1" t="s">
        <v>1311</v>
      </c>
      <c r="C836" s="1" t="s">
        <v>945</v>
      </c>
      <c r="D836" s="1" t="s">
        <v>11</v>
      </c>
      <c r="E836" s="35">
        <v>25</v>
      </c>
    </row>
    <row r="837" spans="2:5" x14ac:dyDescent="0.2">
      <c r="B837" s="1" t="s">
        <v>1314</v>
      </c>
      <c r="C837" s="1" t="s">
        <v>1319</v>
      </c>
      <c r="D837" s="1" t="s">
        <v>18</v>
      </c>
      <c r="E837" s="35">
        <v>18</v>
      </c>
    </row>
    <row r="838" spans="2:5" x14ac:dyDescent="0.2">
      <c r="B838" s="1" t="s">
        <v>1320</v>
      </c>
      <c r="C838" s="1" t="s">
        <v>1285</v>
      </c>
      <c r="D838" s="1" t="s">
        <v>11</v>
      </c>
      <c r="E838" s="35">
        <v>10</v>
      </c>
    </row>
    <row r="839" spans="2:5" x14ac:dyDescent="0.2">
      <c r="B839" s="1" t="s">
        <v>1321</v>
      </c>
      <c r="C839" s="1" t="s">
        <v>146</v>
      </c>
      <c r="D839" s="1" t="s">
        <v>18</v>
      </c>
      <c r="E839" s="35">
        <v>40</v>
      </c>
    </row>
    <row r="840" spans="2:5" x14ac:dyDescent="0.2">
      <c r="B840" s="1" t="s">
        <v>1322</v>
      </c>
      <c r="C840" s="1" t="s">
        <v>285</v>
      </c>
      <c r="D840" s="1" t="s">
        <v>11</v>
      </c>
      <c r="E840" s="35">
        <v>20</v>
      </c>
    </row>
    <row r="841" spans="2:5" x14ac:dyDescent="0.2">
      <c r="B841" s="1" t="s">
        <v>1323</v>
      </c>
      <c r="C841" s="1" t="s">
        <v>414</v>
      </c>
      <c r="D841" s="1" t="s">
        <v>18</v>
      </c>
      <c r="E841" s="35">
        <v>24</v>
      </c>
    </row>
    <row r="842" spans="2:5" x14ac:dyDescent="0.2">
      <c r="B842" s="1" t="s">
        <v>1324</v>
      </c>
      <c r="C842" s="1" t="s">
        <v>745</v>
      </c>
      <c r="D842" s="1" t="s">
        <v>18</v>
      </c>
      <c r="E842" s="35">
        <v>25</v>
      </c>
    </row>
    <row r="843" spans="2:5" x14ac:dyDescent="0.2">
      <c r="B843" s="1" t="s">
        <v>1325</v>
      </c>
      <c r="C843" s="1" t="s">
        <v>1189</v>
      </c>
      <c r="D843" s="1" t="s">
        <v>18</v>
      </c>
      <c r="E843" s="35">
        <v>30</v>
      </c>
    </row>
    <row r="844" spans="2:5" x14ac:dyDescent="0.2">
      <c r="B844" s="1" t="s">
        <v>1326</v>
      </c>
      <c r="C844" s="1" t="s">
        <v>1327</v>
      </c>
      <c r="D844" s="1" t="s">
        <v>18</v>
      </c>
      <c r="E844" s="35">
        <v>40</v>
      </c>
    </row>
    <row r="845" spans="2:5" x14ac:dyDescent="0.2">
      <c r="B845" s="1" t="s">
        <v>1328</v>
      </c>
      <c r="C845" s="1" t="s">
        <v>357</v>
      </c>
      <c r="D845" s="1" t="s">
        <v>18</v>
      </c>
      <c r="E845" s="35">
        <v>25</v>
      </c>
    </row>
    <row r="846" spans="2:5" x14ac:dyDescent="0.2">
      <c r="B846" s="1" t="s">
        <v>1329</v>
      </c>
      <c r="C846" s="1" t="s">
        <v>1330</v>
      </c>
      <c r="D846" s="1" t="s">
        <v>11</v>
      </c>
      <c r="E846" s="35">
        <v>5</v>
      </c>
    </row>
    <row r="847" spans="2:5" x14ac:dyDescent="0.2">
      <c r="B847" s="1" t="s">
        <v>1331</v>
      </c>
      <c r="C847" s="1" t="s">
        <v>160</v>
      </c>
      <c r="D847" s="1" t="s">
        <v>18</v>
      </c>
      <c r="E847" s="35">
        <v>40</v>
      </c>
    </row>
    <row r="848" spans="2:5" x14ac:dyDescent="0.2">
      <c r="B848" s="1" t="s">
        <v>1304</v>
      </c>
      <c r="C848" s="1" t="s">
        <v>1332</v>
      </c>
      <c r="D848" s="1" t="s">
        <v>18</v>
      </c>
      <c r="E848" s="35">
        <v>40</v>
      </c>
    </row>
    <row r="849" spans="2:5" x14ac:dyDescent="0.2">
      <c r="B849" s="1" t="s">
        <v>1305</v>
      </c>
      <c r="C849" s="1" t="s">
        <v>1333</v>
      </c>
      <c r="D849" s="1" t="s">
        <v>18</v>
      </c>
      <c r="E849" s="35">
        <v>25</v>
      </c>
    </row>
    <row r="850" spans="2:5" x14ac:dyDescent="0.2">
      <c r="B850" s="1" t="s">
        <v>1334</v>
      </c>
      <c r="C850" s="1" t="s">
        <v>1335</v>
      </c>
      <c r="D850" s="1" t="s">
        <v>18</v>
      </c>
      <c r="E850" s="35">
        <v>10</v>
      </c>
    </row>
    <row r="851" spans="2:5" x14ac:dyDescent="0.2">
      <c r="B851" s="1" t="s">
        <v>1336</v>
      </c>
      <c r="C851" s="1" t="s">
        <v>1337</v>
      </c>
      <c r="D851" s="1" t="s">
        <v>11</v>
      </c>
      <c r="E851" s="35">
        <v>40</v>
      </c>
    </row>
    <row r="852" spans="2:5" x14ac:dyDescent="0.2">
      <c r="B852" s="1" t="s">
        <v>1338</v>
      </c>
      <c r="C852" s="1" t="s">
        <v>418</v>
      </c>
      <c r="D852" s="1" t="s">
        <v>11</v>
      </c>
      <c r="E852" s="35">
        <v>20</v>
      </c>
    </row>
    <row r="853" spans="2:5" x14ac:dyDescent="0.2">
      <c r="B853" s="1" t="s">
        <v>1339</v>
      </c>
      <c r="C853" s="1" t="s">
        <v>889</v>
      </c>
      <c r="D853" s="1" t="s">
        <v>11</v>
      </c>
      <c r="E853" s="35">
        <v>40</v>
      </c>
    </row>
    <row r="854" spans="2:5" x14ac:dyDescent="0.2">
      <c r="B854" s="1" t="s">
        <v>1342</v>
      </c>
      <c r="C854" s="1" t="s">
        <v>114</v>
      </c>
      <c r="D854" s="1" t="s">
        <v>11</v>
      </c>
      <c r="E854" s="35">
        <v>3</v>
      </c>
    </row>
    <row r="855" spans="2:5" x14ac:dyDescent="0.2">
      <c r="B855" s="1" t="s">
        <v>1343</v>
      </c>
      <c r="C855" s="1" t="s">
        <v>773</v>
      </c>
      <c r="D855" s="1" t="s">
        <v>11</v>
      </c>
      <c r="E855" s="35">
        <v>50</v>
      </c>
    </row>
    <row r="856" spans="2:5" x14ac:dyDescent="0.2">
      <c r="B856" s="1" t="s">
        <v>1348</v>
      </c>
      <c r="C856" s="1" t="s">
        <v>905</v>
      </c>
      <c r="D856" s="1" t="s">
        <v>11</v>
      </c>
      <c r="E856" s="35">
        <v>40</v>
      </c>
    </row>
    <row r="857" spans="2:5" x14ac:dyDescent="0.2">
      <c r="B857" s="1" t="s">
        <v>1347</v>
      </c>
      <c r="C857" s="1" t="s">
        <v>532</v>
      </c>
      <c r="D857" s="1" t="s">
        <v>11</v>
      </c>
      <c r="E857" s="35">
        <v>3</v>
      </c>
    </row>
    <row r="858" spans="2:5" x14ac:dyDescent="0.2">
      <c r="B858" s="1" t="s">
        <v>1349</v>
      </c>
      <c r="C858" s="1" t="s">
        <v>965</v>
      </c>
      <c r="D858" s="1" t="s">
        <v>11</v>
      </c>
      <c r="E858" s="35">
        <v>25</v>
      </c>
    </row>
    <row r="859" spans="2:5" x14ac:dyDescent="0.2">
      <c r="B859" s="1" t="s">
        <v>1346</v>
      </c>
      <c r="C859" s="1" t="s">
        <v>1350</v>
      </c>
      <c r="D859" s="1" t="s">
        <v>18</v>
      </c>
      <c r="E859" s="35">
        <v>8</v>
      </c>
    </row>
    <row r="860" spans="2:5" x14ac:dyDescent="0.2">
      <c r="B860" s="1" t="s">
        <v>1345</v>
      </c>
      <c r="C860" s="1" t="s">
        <v>187</v>
      </c>
      <c r="D860" s="1" t="s">
        <v>18</v>
      </c>
      <c r="E860" s="35">
        <v>8</v>
      </c>
    </row>
    <row r="861" spans="2:5" x14ac:dyDescent="0.2">
      <c r="B861" s="1" t="s">
        <v>1344</v>
      </c>
      <c r="C861" s="1" t="s">
        <v>1351</v>
      </c>
      <c r="D861" s="1" t="s">
        <v>18</v>
      </c>
      <c r="E861" s="35">
        <v>8</v>
      </c>
    </row>
    <row r="862" spans="2:5" x14ac:dyDescent="0.2">
      <c r="B862" s="1" t="s">
        <v>1352</v>
      </c>
      <c r="C862" s="1" t="s">
        <v>1353</v>
      </c>
      <c r="D862" s="1" t="s">
        <v>11</v>
      </c>
      <c r="E862" s="35">
        <v>10</v>
      </c>
    </row>
    <row r="863" spans="2:5" x14ac:dyDescent="0.2">
      <c r="B863" s="1" t="s">
        <v>1354</v>
      </c>
      <c r="C863" s="1" t="s">
        <v>1355</v>
      </c>
      <c r="D863" s="1" t="s">
        <v>11</v>
      </c>
      <c r="E863" s="35">
        <v>25</v>
      </c>
    </row>
    <row r="864" spans="2:5" x14ac:dyDescent="0.2">
      <c r="B864" s="1" t="s">
        <v>1356</v>
      </c>
      <c r="C864" s="1" t="s">
        <v>172</v>
      </c>
      <c r="D864" s="1" t="s">
        <v>11</v>
      </c>
      <c r="E864" s="35">
        <v>10</v>
      </c>
    </row>
    <row r="865" spans="2:5" x14ac:dyDescent="0.2">
      <c r="B865" s="1" t="s">
        <v>1357</v>
      </c>
      <c r="C865" s="1" t="s">
        <v>160</v>
      </c>
      <c r="D865" s="1" t="s">
        <v>18</v>
      </c>
      <c r="E865" s="35">
        <v>40</v>
      </c>
    </row>
    <row r="866" spans="2:5" x14ac:dyDescent="0.2">
      <c r="B866" s="1" t="s">
        <v>1358</v>
      </c>
      <c r="C866" s="1" t="s">
        <v>1235</v>
      </c>
      <c r="D866" s="1" t="s">
        <v>18</v>
      </c>
      <c r="E866" s="35">
        <v>40</v>
      </c>
    </row>
    <row r="867" spans="2:5" x14ac:dyDescent="0.2">
      <c r="B867" s="1" t="s">
        <v>1359</v>
      </c>
      <c r="C867" s="1" t="s">
        <v>1079</v>
      </c>
      <c r="D867" s="1" t="s">
        <v>11</v>
      </c>
      <c r="E867" s="35">
        <v>25</v>
      </c>
    </row>
    <row r="868" spans="2:5" x14ac:dyDescent="0.2">
      <c r="B868" s="1" t="s">
        <v>1361</v>
      </c>
      <c r="C868" s="1" t="s">
        <v>187</v>
      </c>
      <c r="D868" s="1" t="s">
        <v>18</v>
      </c>
      <c r="E868" s="35">
        <v>8</v>
      </c>
    </row>
    <row r="869" spans="2:5" x14ac:dyDescent="0.2">
      <c r="B869" s="1" t="s">
        <v>1362</v>
      </c>
      <c r="C869" s="1" t="s">
        <v>564</v>
      </c>
      <c r="D869" s="1" t="s">
        <v>11</v>
      </c>
      <c r="E869" s="35">
        <v>50</v>
      </c>
    </row>
    <row r="870" spans="2:5" x14ac:dyDescent="0.2">
      <c r="B870" s="1" t="s">
        <v>1363</v>
      </c>
      <c r="C870" s="1" t="s">
        <v>448</v>
      </c>
      <c r="D870" s="1" t="s">
        <v>18</v>
      </c>
      <c r="E870" s="35">
        <v>40</v>
      </c>
    </row>
    <row r="871" spans="2:5" x14ac:dyDescent="0.2">
      <c r="B871" s="1" t="s">
        <v>1364</v>
      </c>
      <c r="C871" s="1" t="s">
        <v>1365</v>
      </c>
      <c r="D871" s="1" t="s">
        <v>11</v>
      </c>
      <c r="E871" s="35">
        <v>40</v>
      </c>
    </row>
    <row r="872" spans="2:5" x14ac:dyDescent="0.2">
      <c r="B872" s="1" t="s">
        <v>1366</v>
      </c>
      <c r="C872" s="1" t="s">
        <v>933</v>
      </c>
      <c r="D872" s="1" t="s">
        <v>18</v>
      </c>
      <c r="E872" s="35">
        <v>30</v>
      </c>
    </row>
    <row r="873" spans="2:5" x14ac:dyDescent="0.2">
      <c r="B873" s="1" t="s">
        <v>1367</v>
      </c>
      <c r="C873" s="1" t="s">
        <v>1099</v>
      </c>
      <c r="D873" s="1" t="s">
        <v>11</v>
      </c>
      <c r="E873" s="35">
        <v>20</v>
      </c>
    </row>
    <row r="874" spans="2:5" x14ac:dyDescent="0.2">
      <c r="B874" s="1" t="s">
        <v>1368</v>
      </c>
      <c r="C874" s="1" t="s">
        <v>1351</v>
      </c>
      <c r="D874" s="1" t="s">
        <v>18</v>
      </c>
      <c r="E874" s="35">
        <v>8</v>
      </c>
    </row>
    <row r="875" spans="2:5" x14ac:dyDescent="0.2">
      <c r="B875" s="1" t="s">
        <v>1369</v>
      </c>
      <c r="C875" s="1" t="s">
        <v>187</v>
      </c>
      <c r="D875" s="1" t="s">
        <v>18</v>
      </c>
      <c r="E875" s="35">
        <v>8</v>
      </c>
    </row>
    <row r="876" spans="2:5" x14ac:dyDescent="0.2">
      <c r="B876" s="1" t="s">
        <v>1371</v>
      </c>
      <c r="C876" s="1" t="s">
        <v>490</v>
      </c>
      <c r="D876" s="1" t="s">
        <v>11</v>
      </c>
      <c r="E876" s="35">
        <v>30</v>
      </c>
    </row>
    <row r="877" spans="2:5" x14ac:dyDescent="0.2">
      <c r="B877" s="1" t="s">
        <v>1370</v>
      </c>
      <c r="C877" s="1" t="s">
        <v>1372</v>
      </c>
      <c r="D877" s="1" t="s">
        <v>11</v>
      </c>
      <c r="E877" s="35">
        <v>10</v>
      </c>
    </row>
    <row r="878" spans="2:5" x14ac:dyDescent="0.2">
      <c r="B878" s="1" t="s">
        <v>1373</v>
      </c>
      <c r="C878" s="1" t="s">
        <v>145</v>
      </c>
      <c r="D878" s="1" t="s">
        <v>11</v>
      </c>
      <c r="E878" s="35">
        <v>30</v>
      </c>
    </row>
    <row r="879" spans="2:5" x14ac:dyDescent="0.2">
      <c r="B879" s="1" t="s">
        <v>1375</v>
      </c>
      <c r="C879" s="1" t="s">
        <v>586</v>
      </c>
      <c r="D879" s="1" t="s">
        <v>18</v>
      </c>
      <c r="E879" s="35">
        <v>40</v>
      </c>
    </row>
    <row r="880" spans="2:5" x14ac:dyDescent="0.2">
      <c r="B880" s="1" t="s">
        <v>1382</v>
      </c>
      <c r="C880" s="1" t="s">
        <v>448</v>
      </c>
      <c r="D880" s="1" t="s">
        <v>18</v>
      </c>
      <c r="E880" s="35">
        <v>40</v>
      </c>
    </row>
    <row r="881" spans="2:5" x14ac:dyDescent="0.2">
      <c r="B881" s="1" t="s">
        <v>1383</v>
      </c>
      <c r="C881" s="1" t="s">
        <v>508</v>
      </c>
      <c r="D881" s="1" t="s">
        <v>18</v>
      </c>
      <c r="E881" s="35">
        <v>10</v>
      </c>
    </row>
    <row r="882" spans="2:5" x14ac:dyDescent="0.2">
      <c r="B882" s="1" t="s">
        <v>1384</v>
      </c>
      <c r="C882" s="1" t="s">
        <v>1237</v>
      </c>
      <c r="D882" s="1" t="s">
        <v>11</v>
      </c>
      <c r="E882" s="35">
        <v>10</v>
      </c>
    </row>
    <row r="883" spans="2:5" x14ac:dyDescent="0.2">
      <c r="B883" s="1" t="s">
        <v>1407</v>
      </c>
      <c r="C883" s="1" t="s">
        <v>1408</v>
      </c>
      <c r="D883" s="1" t="s">
        <v>11</v>
      </c>
      <c r="E883" s="35">
        <v>20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topLeftCell="A23" zoomScale="85" zoomScaleNormal="85" workbookViewId="0">
      <selection activeCell="C34" sqref="C34"/>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1406</v>
      </c>
      <c r="D1" s="66"/>
      <c r="E1" s="48"/>
    </row>
    <row r="2" spans="1:5" ht="16.5" x14ac:dyDescent="0.25">
      <c r="A2" s="49"/>
      <c r="B2" s="50"/>
      <c r="C2" s="51"/>
      <c r="D2" s="66"/>
      <c r="E2" s="48"/>
    </row>
    <row r="3" spans="1:5" ht="16.5" x14ac:dyDescent="0.25">
      <c r="A3" s="52"/>
      <c r="B3" s="53"/>
      <c r="C3" s="45"/>
      <c r="D3" s="67"/>
      <c r="E3" s="43"/>
    </row>
    <row r="4" spans="1:5" ht="16.5" x14ac:dyDescent="0.25">
      <c r="A4" s="46">
        <v>20</v>
      </c>
      <c r="B4" s="44" t="s">
        <v>19</v>
      </c>
      <c r="C4" s="42" t="s">
        <v>85</v>
      </c>
      <c r="D4" s="68"/>
      <c r="E4" s="42"/>
    </row>
    <row r="5" spans="1:5" ht="16.5" x14ac:dyDescent="0.25">
      <c r="A5" s="47">
        <v>45</v>
      </c>
      <c r="B5" s="39" t="s">
        <v>19</v>
      </c>
      <c r="C5" s="38" t="s">
        <v>93</v>
      </c>
      <c r="D5" s="65"/>
      <c r="E5" s="38"/>
    </row>
    <row r="6" spans="1:5" ht="16.5" x14ac:dyDescent="0.25">
      <c r="A6" s="47">
        <v>5</v>
      </c>
      <c r="B6" s="39" t="s">
        <v>19</v>
      </c>
      <c r="C6" s="38" t="s">
        <v>1026</v>
      </c>
      <c r="D6" s="65"/>
      <c r="E6" s="38"/>
    </row>
    <row r="7" spans="1:5" ht="16.5" x14ac:dyDescent="0.25">
      <c r="A7" s="47">
        <v>20</v>
      </c>
      <c r="B7" s="39" t="s">
        <v>19</v>
      </c>
      <c r="C7" s="38" t="s">
        <v>149</v>
      </c>
      <c r="D7" s="65"/>
      <c r="E7" s="38"/>
    </row>
    <row r="8" spans="1:5" ht="16.5" x14ac:dyDescent="0.25">
      <c r="A8" s="46">
        <v>35</v>
      </c>
      <c r="B8" s="39" t="s">
        <v>19</v>
      </c>
      <c r="C8" s="38" t="s">
        <v>431</v>
      </c>
      <c r="D8" s="65"/>
      <c r="E8" s="38"/>
    </row>
    <row r="9" spans="1:5" ht="16.5" x14ac:dyDescent="0.25">
      <c r="A9" s="47">
        <v>35</v>
      </c>
      <c r="B9" s="39" t="s">
        <v>19</v>
      </c>
      <c r="C9" s="38" t="s">
        <v>1178</v>
      </c>
      <c r="D9" s="65"/>
      <c r="E9" s="38"/>
    </row>
    <row r="10" spans="1:5" ht="16.5" x14ac:dyDescent="0.25">
      <c r="A10" s="47">
        <v>20</v>
      </c>
      <c r="B10" s="39" t="s">
        <v>19</v>
      </c>
      <c r="C10" s="38" t="s">
        <v>633</v>
      </c>
      <c r="D10" s="65"/>
      <c r="E10" s="38"/>
    </row>
    <row r="11" spans="1:5" ht="16.5" x14ac:dyDescent="0.25">
      <c r="A11" s="47">
        <v>35</v>
      </c>
      <c r="B11" s="39" t="s">
        <v>19</v>
      </c>
      <c r="C11" s="38" t="s">
        <v>244</v>
      </c>
      <c r="D11" s="65"/>
      <c r="E11" s="38"/>
    </row>
    <row r="12" spans="1:5" ht="16.5" x14ac:dyDescent="0.25">
      <c r="A12" s="47">
        <v>22</v>
      </c>
      <c r="B12" s="39" t="s">
        <v>19</v>
      </c>
      <c r="C12" s="38" t="s">
        <v>990</v>
      </c>
      <c r="D12" s="65"/>
      <c r="E12" s="38"/>
    </row>
    <row r="13" spans="1:5" ht="16.5" x14ac:dyDescent="0.25">
      <c r="A13" s="47">
        <v>5</v>
      </c>
      <c r="B13" s="39" t="s">
        <v>19</v>
      </c>
      <c r="C13" s="38" t="s">
        <v>182</v>
      </c>
      <c r="D13" s="65"/>
      <c r="E13" s="38"/>
    </row>
    <row r="14" spans="1:5" ht="16.5" x14ac:dyDescent="0.25">
      <c r="A14" s="47">
        <v>20</v>
      </c>
      <c r="B14" s="39" t="s">
        <v>19</v>
      </c>
      <c r="C14" s="38" t="s">
        <v>194</v>
      </c>
      <c r="D14" s="65"/>
      <c r="E14" s="38"/>
    </row>
    <row r="15" spans="1:5" ht="16.5" x14ac:dyDescent="0.25">
      <c r="A15" s="47">
        <v>20</v>
      </c>
      <c r="B15" s="39" t="s">
        <v>19</v>
      </c>
      <c r="C15" s="38" t="s">
        <v>340</v>
      </c>
      <c r="D15" s="65"/>
      <c r="E15" s="38"/>
    </row>
    <row r="16" spans="1:5" ht="16.5" x14ac:dyDescent="0.25">
      <c r="A16" s="47">
        <v>15</v>
      </c>
      <c r="B16" s="39" t="s">
        <v>19</v>
      </c>
      <c r="C16" s="38" t="s">
        <v>207</v>
      </c>
      <c r="D16" s="65"/>
      <c r="E16" s="38"/>
    </row>
    <row r="17" spans="1:5" ht="16.5" customHeight="1" x14ac:dyDescent="0.25">
      <c r="A17" s="47">
        <v>25</v>
      </c>
      <c r="B17" s="39" t="s">
        <v>19</v>
      </c>
      <c r="C17" s="38" t="s">
        <v>240</v>
      </c>
      <c r="D17" s="65"/>
      <c r="E17" s="38"/>
    </row>
    <row r="18" spans="1:5" ht="16.5" x14ac:dyDescent="0.25">
      <c r="A18" s="47">
        <v>25</v>
      </c>
      <c r="B18" s="39" t="s">
        <v>19</v>
      </c>
      <c r="C18" s="38" t="s">
        <v>235</v>
      </c>
      <c r="D18" s="65"/>
      <c r="E18" s="38"/>
    </row>
    <row r="19" spans="1:5" ht="16.5" x14ac:dyDescent="0.25">
      <c r="A19" s="47">
        <v>25</v>
      </c>
      <c r="B19" s="39" t="s">
        <v>19</v>
      </c>
      <c r="C19" s="38" t="s">
        <v>247</v>
      </c>
      <c r="D19" s="65"/>
      <c r="E19" s="38"/>
    </row>
    <row r="20" spans="1:5" ht="16.5" x14ac:dyDescent="0.25">
      <c r="A20" s="47">
        <v>5</v>
      </c>
      <c r="B20" s="39" t="s">
        <v>19</v>
      </c>
      <c r="C20" s="38" t="s">
        <v>272</v>
      </c>
      <c r="D20" s="65"/>
      <c r="E20" s="38"/>
    </row>
    <row r="21" spans="1:5" ht="16.5" x14ac:dyDescent="0.25">
      <c r="A21" s="47">
        <v>25</v>
      </c>
      <c r="B21" s="39" t="s">
        <v>19</v>
      </c>
      <c r="C21" s="38" t="s">
        <v>310</v>
      </c>
      <c r="D21" s="65"/>
      <c r="E21" s="38"/>
    </row>
    <row r="22" spans="1:5" ht="16.5" x14ac:dyDescent="0.25">
      <c r="A22" s="47">
        <v>20</v>
      </c>
      <c r="B22" s="39" t="s">
        <v>19</v>
      </c>
      <c r="C22" s="38" t="s">
        <v>675</v>
      </c>
      <c r="D22" s="65"/>
      <c r="E22" s="38"/>
    </row>
    <row r="23" spans="1:5" ht="16.5" x14ac:dyDescent="0.25">
      <c r="A23" s="47">
        <v>10</v>
      </c>
      <c r="B23" s="39" t="s">
        <v>19</v>
      </c>
      <c r="C23" s="38" t="s">
        <v>544</v>
      </c>
      <c r="D23" s="65"/>
      <c r="E23" s="38"/>
    </row>
    <row r="24" spans="1:5" ht="16.5" x14ac:dyDescent="0.25">
      <c r="A24" s="47">
        <v>2</v>
      </c>
      <c r="B24" s="39" t="s">
        <v>19</v>
      </c>
      <c r="C24" s="38" t="s">
        <v>440</v>
      </c>
      <c r="D24" s="65"/>
      <c r="E24" s="38"/>
    </row>
    <row r="25" spans="1:5" ht="16.5" x14ac:dyDescent="0.25">
      <c r="A25" s="47">
        <v>20</v>
      </c>
      <c r="B25" s="39" t="s">
        <v>19</v>
      </c>
      <c r="C25" s="38" t="s">
        <v>1207</v>
      </c>
      <c r="D25" s="65"/>
      <c r="E25" s="38"/>
    </row>
    <row r="26" spans="1:5" ht="16.5" x14ac:dyDescent="0.25">
      <c r="A26" s="47">
        <v>10</v>
      </c>
      <c r="B26" s="39" t="s">
        <v>19</v>
      </c>
      <c r="C26" s="38" t="s">
        <v>449</v>
      </c>
      <c r="D26" s="65"/>
      <c r="E26" s="38"/>
    </row>
    <row r="27" spans="1:5" ht="16.5" x14ac:dyDescent="0.25">
      <c r="A27" s="47">
        <v>10</v>
      </c>
      <c r="B27" s="39" t="s">
        <v>19</v>
      </c>
      <c r="C27" s="38" t="s">
        <v>578</v>
      </c>
      <c r="D27" s="65"/>
      <c r="E27" s="38"/>
    </row>
    <row r="28" spans="1:5" ht="16.5" x14ac:dyDescent="0.25">
      <c r="A28" s="47">
        <v>25</v>
      </c>
      <c r="B28" s="39" t="s">
        <v>19</v>
      </c>
      <c r="C28" s="38" t="s">
        <v>554</v>
      </c>
      <c r="D28" s="65"/>
      <c r="E28" s="38"/>
    </row>
    <row r="29" spans="1:5" ht="16.5" x14ac:dyDescent="0.25">
      <c r="A29" s="47">
        <v>150</v>
      </c>
      <c r="B29" s="39" t="s">
        <v>19</v>
      </c>
      <c r="C29" s="38" t="s">
        <v>778</v>
      </c>
      <c r="D29" s="65"/>
      <c r="E29" s="38"/>
    </row>
    <row r="30" spans="1:5" ht="16.5" x14ac:dyDescent="0.25">
      <c r="A30" s="47">
        <v>10</v>
      </c>
      <c r="B30" s="39" t="s">
        <v>19</v>
      </c>
      <c r="C30" s="38" t="s">
        <v>1219</v>
      </c>
      <c r="D30" s="65"/>
      <c r="E30" s="38"/>
    </row>
    <row r="31" spans="1:5" ht="16.5" x14ac:dyDescent="0.25">
      <c r="A31" s="47">
        <v>20</v>
      </c>
      <c r="B31" s="39" t="s">
        <v>19</v>
      </c>
      <c r="C31" s="38" t="s">
        <v>653</v>
      </c>
      <c r="D31" s="65"/>
      <c r="E31" s="38"/>
    </row>
    <row r="32" spans="1:5" ht="16.5" x14ac:dyDescent="0.25">
      <c r="A32" s="47">
        <v>15</v>
      </c>
      <c r="B32" s="39" t="s">
        <v>19</v>
      </c>
      <c r="C32" s="38" t="s">
        <v>1127</v>
      </c>
      <c r="D32" s="65"/>
      <c r="E32" s="38"/>
    </row>
    <row r="33" spans="1:5" ht="16.5" x14ac:dyDescent="0.25">
      <c r="A33" s="47">
        <v>2</v>
      </c>
      <c r="B33" s="39" t="s">
        <v>19</v>
      </c>
      <c r="C33" s="38" t="s">
        <v>444</v>
      </c>
      <c r="D33" s="65"/>
      <c r="E33" s="38"/>
    </row>
    <row r="34" spans="1:5" ht="16.5" x14ac:dyDescent="0.25">
      <c r="A34" s="47">
        <v>1</v>
      </c>
      <c r="B34" s="39" t="s">
        <v>19</v>
      </c>
      <c r="C34" s="38" t="s">
        <v>1407</v>
      </c>
      <c r="D34" s="65"/>
      <c r="E34" s="38"/>
    </row>
    <row r="35" spans="1:5" ht="16.5" x14ac:dyDescent="0.25">
      <c r="A35" s="47"/>
      <c r="B35" s="39"/>
      <c r="C35" s="38"/>
      <c r="D35" s="65"/>
      <c r="E35" s="38"/>
    </row>
    <row r="36" spans="1:5" ht="16.5" x14ac:dyDescent="0.25">
      <c r="A36" s="47"/>
      <c r="B36" s="39"/>
      <c r="C36" s="38"/>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40"/>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40"/>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9" priority="6">
      <formula>AND(B1&gt;"",B1&lt;&gt;"LB")</formula>
    </cfRule>
  </conditionalFormatting>
  <conditionalFormatting sqref="C1:C1048576">
    <cfRule type="expression" dxfId="8" priority="1">
      <formula>SEARCH("sunkist",C1)</formula>
    </cfRule>
    <cfRule type="expression" dxfId="7" priority="2">
      <formula>SEARCH("red pot",C1)</formula>
    </cfRule>
    <cfRule type="expression" dxfId="6"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C18" sqref="C18"/>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1400</v>
      </c>
      <c r="D1" s="66"/>
      <c r="E1" s="48"/>
    </row>
    <row r="2" spans="1:5" ht="16.5" x14ac:dyDescent="0.25">
      <c r="A2" s="49"/>
      <c r="B2" s="50"/>
      <c r="C2" s="51"/>
      <c r="D2" s="66"/>
      <c r="E2" s="48"/>
    </row>
    <row r="3" spans="1:5" ht="16.5" x14ac:dyDescent="0.25">
      <c r="A3" s="52"/>
      <c r="B3" s="53"/>
      <c r="C3" s="45"/>
      <c r="D3" s="67"/>
      <c r="E3" s="43"/>
    </row>
    <row r="4" spans="1:5" ht="16.5" x14ac:dyDescent="0.25">
      <c r="A4" s="46">
        <v>1</v>
      </c>
      <c r="B4" s="44" t="s">
        <v>12</v>
      </c>
      <c r="C4" s="42" t="s">
        <v>149</v>
      </c>
      <c r="D4" s="68"/>
      <c r="E4" s="42"/>
    </row>
    <row r="5" spans="1:5" ht="16.5" x14ac:dyDescent="0.25">
      <c r="A5" s="47">
        <v>5.5</v>
      </c>
      <c r="B5" s="39" t="s">
        <v>12</v>
      </c>
      <c r="C5" s="38" t="s">
        <v>194</v>
      </c>
      <c r="D5" s="65"/>
      <c r="E5" s="38"/>
    </row>
    <row r="6" spans="1:5" ht="16.5" x14ac:dyDescent="0.25">
      <c r="A6" s="47">
        <v>0.5</v>
      </c>
      <c r="B6" s="39" t="s">
        <v>12</v>
      </c>
      <c r="C6" s="38" t="s">
        <v>240</v>
      </c>
      <c r="D6" s="65"/>
      <c r="E6" s="38"/>
    </row>
    <row r="7" spans="1:5" ht="16.5" x14ac:dyDescent="0.25">
      <c r="A7" s="47">
        <v>1.5</v>
      </c>
      <c r="B7" s="39" t="s">
        <v>12</v>
      </c>
      <c r="C7" s="38" t="s">
        <v>244</v>
      </c>
      <c r="D7" s="65"/>
      <c r="E7" s="38"/>
    </row>
    <row r="8" spans="1:5" ht="16.5" x14ac:dyDescent="0.25">
      <c r="A8" s="46">
        <v>0.5</v>
      </c>
      <c r="B8" s="39" t="s">
        <v>12</v>
      </c>
      <c r="C8" s="38" t="s">
        <v>272</v>
      </c>
      <c r="D8" s="65"/>
      <c r="E8" s="38"/>
    </row>
    <row r="9" spans="1:5" ht="16.5" x14ac:dyDescent="0.25">
      <c r="A9" s="47">
        <v>5</v>
      </c>
      <c r="B9" s="39" t="s">
        <v>19</v>
      </c>
      <c r="C9" s="38" t="s">
        <v>1101</v>
      </c>
      <c r="D9" s="65"/>
      <c r="E9" s="38"/>
    </row>
    <row r="10" spans="1:5" ht="16.5" x14ac:dyDescent="0.25">
      <c r="A10" s="47">
        <v>65</v>
      </c>
      <c r="B10" s="39" t="s">
        <v>19</v>
      </c>
      <c r="C10" s="38" t="s">
        <v>467</v>
      </c>
      <c r="D10" s="65"/>
      <c r="E10" s="38"/>
    </row>
    <row r="11" spans="1:5" ht="16.5" x14ac:dyDescent="0.25">
      <c r="A11" s="47">
        <v>1</v>
      </c>
      <c r="B11" s="39" t="s">
        <v>12</v>
      </c>
      <c r="C11" s="38" t="s">
        <v>580</v>
      </c>
      <c r="D11" s="65"/>
      <c r="E11" s="38"/>
    </row>
    <row r="12" spans="1:5" ht="16.5" x14ac:dyDescent="0.25">
      <c r="A12" s="47">
        <v>0.5</v>
      </c>
      <c r="B12" s="39" t="s">
        <v>12</v>
      </c>
      <c r="C12" s="38" t="s">
        <v>633</v>
      </c>
      <c r="D12" s="65"/>
      <c r="E12" s="38"/>
    </row>
    <row r="13" spans="1:5" ht="16.5" x14ac:dyDescent="0.25">
      <c r="A13" s="47">
        <v>1</v>
      </c>
      <c r="B13" s="39" t="s">
        <v>25</v>
      </c>
      <c r="C13" s="38" t="s">
        <v>778</v>
      </c>
      <c r="D13" s="65"/>
      <c r="E13" s="38"/>
    </row>
    <row r="14" spans="1:5" ht="16.5" x14ac:dyDescent="0.25">
      <c r="A14" s="47">
        <v>15</v>
      </c>
      <c r="B14" s="39" t="s">
        <v>40</v>
      </c>
      <c r="C14" s="38" t="s">
        <v>836</v>
      </c>
      <c r="D14" s="65"/>
      <c r="E14" s="38"/>
    </row>
    <row r="15" spans="1:5" ht="16.5" x14ac:dyDescent="0.25">
      <c r="A15" s="47">
        <v>2</v>
      </c>
      <c r="B15" s="39" t="s">
        <v>12</v>
      </c>
      <c r="C15" s="38" t="s">
        <v>946</v>
      </c>
      <c r="D15" s="65"/>
      <c r="E15" s="38"/>
    </row>
    <row r="16" spans="1:5" ht="16.5" x14ac:dyDescent="0.25">
      <c r="A16" s="47">
        <v>300</v>
      </c>
      <c r="B16" s="39" t="s">
        <v>19</v>
      </c>
      <c r="C16" s="38" t="s">
        <v>990</v>
      </c>
      <c r="D16" s="65"/>
      <c r="E16" s="38"/>
    </row>
    <row r="17" spans="1:5" ht="16.5" customHeight="1" x14ac:dyDescent="0.25">
      <c r="A17" s="47">
        <v>1</v>
      </c>
      <c r="B17" s="39" t="s">
        <v>12</v>
      </c>
      <c r="C17" s="38" t="s">
        <v>1007</v>
      </c>
      <c r="D17" s="65"/>
      <c r="E17" s="38"/>
    </row>
    <row r="18" spans="1:5" ht="16.5" x14ac:dyDescent="0.25">
      <c r="A18" s="47"/>
      <c r="B18" s="39"/>
      <c r="C18" s="38"/>
      <c r="D18" s="65"/>
      <c r="E18" s="38"/>
    </row>
    <row r="19" spans="1:5" ht="16.5" x14ac:dyDescent="0.25">
      <c r="A19" s="47"/>
      <c r="B19" s="39"/>
      <c r="C19" s="38"/>
      <c r="D19" s="65"/>
      <c r="E19" s="38"/>
    </row>
    <row r="20" spans="1:5" ht="16.5" x14ac:dyDescent="0.25">
      <c r="A20" s="47"/>
      <c r="B20" s="39"/>
      <c r="C20" s="38"/>
      <c r="D20" s="65"/>
      <c r="E20" s="38"/>
    </row>
    <row r="21" spans="1:5" ht="16.5" x14ac:dyDescent="0.25">
      <c r="A21" s="47"/>
      <c r="B21" s="39"/>
      <c r="C21" s="38"/>
      <c r="D21" s="65"/>
      <c r="E21" s="38"/>
    </row>
    <row r="22" spans="1:5" ht="16.5" x14ac:dyDescent="0.25">
      <c r="A22" s="47"/>
      <c r="B22" s="39"/>
      <c r="C22" s="38"/>
      <c r="D22" s="65"/>
      <c r="E22" s="38"/>
    </row>
    <row r="23" spans="1:5" ht="16.5" x14ac:dyDescent="0.25">
      <c r="A23" s="47"/>
      <c r="B23" s="39"/>
      <c r="C23" s="38"/>
      <c r="D23" s="65"/>
      <c r="E23" s="38"/>
    </row>
    <row r="24" spans="1:5" ht="16.5" x14ac:dyDescent="0.25">
      <c r="A24" s="47"/>
      <c r="B24" s="39"/>
      <c r="C24" s="38"/>
      <c r="D24" s="65"/>
      <c r="E24" s="38"/>
    </row>
    <row r="25" spans="1:5" ht="16.5" x14ac:dyDescent="0.25">
      <c r="A25" s="47"/>
      <c r="B25" s="39"/>
      <c r="C25" s="38"/>
      <c r="D25" s="65"/>
      <c r="E25" s="38"/>
    </row>
    <row r="26" spans="1:5" ht="16.5" x14ac:dyDescent="0.25">
      <c r="A26" s="47"/>
      <c r="B26" s="39"/>
      <c r="C26" s="38"/>
      <c r="D26" s="65"/>
      <c r="E26" s="38"/>
    </row>
    <row r="27" spans="1:5" ht="16.5" x14ac:dyDescent="0.25">
      <c r="A27" s="47"/>
      <c r="B27" s="39"/>
      <c r="C27" s="38"/>
      <c r="D27" s="65"/>
      <c r="E27" s="38"/>
    </row>
    <row r="28" spans="1:5" ht="16.5" x14ac:dyDescent="0.25">
      <c r="A28" s="47"/>
      <c r="B28" s="39"/>
      <c r="C28" s="38"/>
      <c r="D28" s="65"/>
      <c r="E28" s="38"/>
    </row>
    <row r="29" spans="1:5" ht="16.5" x14ac:dyDescent="0.25">
      <c r="A29" s="47"/>
      <c r="B29" s="39"/>
      <c r="C29" s="38"/>
      <c r="D29" s="65"/>
      <c r="E29" s="38"/>
    </row>
    <row r="30" spans="1:5" ht="16.5" x14ac:dyDescent="0.25">
      <c r="A30" s="47"/>
      <c r="B30" s="39"/>
      <c r="C30" s="38"/>
      <c r="D30" s="65"/>
      <c r="E30" s="38"/>
    </row>
    <row r="31" spans="1:5" ht="16.5" x14ac:dyDescent="0.25">
      <c r="A31" s="47"/>
      <c r="B31" s="39"/>
      <c r="C31" s="38"/>
      <c r="D31" s="65"/>
      <c r="E31" s="38"/>
    </row>
    <row r="32" spans="1:5" ht="16.5" x14ac:dyDescent="0.25">
      <c r="A32" s="47"/>
      <c r="B32" s="39"/>
      <c r="C32" s="38"/>
      <c r="D32" s="65"/>
      <c r="E32" s="38"/>
    </row>
    <row r="33" spans="1:5" ht="16.5" x14ac:dyDescent="0.25">
      <c r="A33" s="47"/>
      <c r="B33" s="39"/>
      <c r="C33" s="38"/>
      <c r="D33" s="65"/>
      <c r="E33" s="38"/>
    </row>
    <row r="34" spans="1:5" ht="16.5" x14ac:dyDescent="0.25">
      <c r="A34" s="47"/>
      <c r="B34" s="39"/>
      <c r="C34" s="38"/>
      <c r="D34" s="65"/>
      <c r="E34" s="38"/>
    </row>
    <row r="35" spans="1:5" ht="16.5" x14ac:dyDescent="0.25">
      <c r="A35" s="47"/>
      <c r="B35" s="39"/>
      <c r="C35" s="38"/>
      <c r="D35" s="65"/>
      <c r="E35" s="38"/>
    </row>
    <row r="36" spans="1:5" ht="16.5" x14ac:dyDescent="0.25">
      <c r="A36" s="47"/>
      <c r="B36" s="39"/>
      <c r="C36" s="38"/>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38"/>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65"/>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5" priority="4">
      <formula>AND(B1&gt;"",B1&lt;&gt;"LB")</formula>
    </cfRule>
  </conditionalFormatting>
  <conditionalFormatting sqref="C1:C1048576">
    <cfRule type="expression" dxfId="4" priority="1">
      <formula>SEARCH("sunkist",C1)</formula>
    </cfRule>
    <cfRule type="expression" dxfId="3" priority="2">
      <formula>SEARCH("red pot",C1)</formula>
    </cfRule>
    <cfRule type="expression" dxfId="2"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12"/>
  <sheetViews>
    <sheetView tabSelected="1" topLeftCell="A104" workbookViewId="0">
      <selection activeCell="G26" sqref="G26"/>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1203</v>
      </c>
      <c r="B1" t="s">
        <v>1401</v>
      </c>
      <c r="C1" t="s">
        <v>1402</v>
      </c>
      <c r="D1" t="s">
        <v>1403</v>
      </c>
      <c r="E1" t="s">
        <v>1404</v>
      </c>
      <c r="F1" t="s">
        <v>32</v>
      </c>
      <c r="G1" t="s">
        <v>1206</v>
      </c>
    </row>
    <row r="2" spans="1:7" x14ac:dyDescent="0.2">
      <c r="A2">
        <v>5.5</v>
      </c>
      <c r="B2" t="s">
        <v>12</v>
      </c>
      <c r="C2" t="s">
        <v>194</v>
      </c>
      <c r="D2" t="s">
        <v>13</v>
      </c>
      <c r="E2" t="s">
        <v>190</v>
      </c>
      <c r="F2">
        <v>40</v>
      </c>
      <c r="G2" t="s">
        <v>1400</v>
      </c>
    </row>
    <row r="3" spans="1:7" x14ac:dyDescent="0.2">
      <c r="A3">
        <v>0.5</v>
      </c>
      <c r="B3" t="s">
        <v>12</v>
      </c>
      <c r="C3" t="s">
        <v>240</v>
      </c>
      <c r="D3" t="s">
        <v>13</v>
      </c>
      <c r="E3" t="s">
        <v>223</v>
      </c>
      <c r="F3">
        <v>50</v>
      </c>
      <c r="G3" t="s">
        <v>1400</v>
      </c>
    </row>
    <row r="4" spans="1:7" x14ac:dyDescent="0.2">
      <c r="A4">
        <v>0.5</v>
      </c>
      <c r="B4" t="s">
        <v>12</v>
      </c>
      <c r="C4" t="s">
        <v>272</v>
      </c>
      <c r="D4" t="s">
        <v>13</v>
      </c>
      <c r="E4" t="s">
        <v>271</v>
      </c>
      <c r="F4">
        <v>50</v>
      </c>
      <c r="G4" t="s">
        <v>1400</v>
      </c>
    </row>
    <row r="5" spans="1:7" x14ac:dyDescent="0.2">
      <c r="A5">
        <v>65</v>
      </c>
      <c r="B5" t="s">
        <v>19</v>
      </c>
      <c r="C5" t="s">
        <v>467</v>
      </c>
      <c r="D5" t="s">
        <v>20</v>
      </c>
      <c r="E5" t="s">
        <v>468</v>
      </c>
      <c r="F5">
        <v>40</v>
      </c>
      <c r="G5" t="s">
        <v>1400</v>
      </c>
    </row>
    <row r="6" spans="1:7" x14ac:dyDescent="0.2">
      <c r="A6">
        <v>1</v>
      </c>
      <c r="B6" t="s">
        <v>25</v>
      </c>
      <c r="C6" t="s">
        <v>778</v>
      </c>
      <c r="D6" t="s">
        <v>26</v>
      </c>
      <c r="E6" t="s">
        <v>779</v>
      </c>
      <c r="F6">
        <v>50</v>
      </c>
      <c r="G6" t="s">
        <v>1400</v>
      </c>
    </row>
    <row r="7" spans="1:7" x14ac:dyDescent="0.2">
      <c r="A7">
        <v>15</v>
      </c>
      <c r="B7" t="s">
        <v>40</v>
      </c>
      <c r="C7" t="s">
        <v>836</v>
      </c>
      <c r="D7" t="s">
        <v>41</v>
      </c>
      <c r="E7" t="s">
        <v>834</v>
      </c>
      <c r="F7">
        <v>10</v>
      </c>
      <c r="G7" t="s">
        <v>1400</v>
      </c>
    </row>
    <row r="8" spans="1:7" x14ac:dyDescent="0.2">
      <c r="A8">
        <v>2</v>
      </c>
      <c r="B8" t="s">
        <v>12</v>
      </c>
      <c r="C8" t="s">
        <v>946</v>
      </c>
      <c r="D8" t="s">
        <v>13</v>
      </c>
      <c r="E8" t="s">
        <v>945</v>
      </c>
      <c r="F8">
        <v>25</v>
      </c>
      <c r="G8" t="s">
        <v>1400</v>
      </c>
    </row>
    <row r="9" spans="1:7" x14ac:dyDescent="0.2">
      <c r="A9">
        <v>1</v>
      </c>
      <c r="B9" t="s">
        <v>12</v>
      </c>
      <c r="C9" t="s">
        <v>1007</v>
      </c>
      <c r="D9" t="s">
        <v>13</v>
      </c>
      <c r="E9" t="s">
        <v>1003</v>
      </c>
      <c r="F9">
        <v>18</v>
      </c>
      <c r="G9" t="s">
        <v>1400</v>
      </c>
    </row>
    <row r="10" spans="1:7" x14ac:dyDescent="0.2">
      <c r="A10">
        <v>1</v>
      </c>
      <c r="B10" t="s">
        <v>12</v>
      </c>
      <c r="C10" t="s">
        <v>149</v>
      </c>
      <c r="D10" t="s">
        <v>13</v>
      </c>
      <c r="E10" t="s">
        <v>146</v>
      </c>
      <c r="F10">
        <v>40</v>
      </c>
      <c r="G10" t="s">
        <v>1400</v>
      </c>
    </row>
    <row r="11" spans="1:7" x14ac:dyDescent="0.2">
      <c r="A11">
        <v>1.5</v>
      </c>
      <c r="B11" t="s">
        <v>12</v>
      </c>
      <c r="C11" t="s">
        <v>244</v>
      </c>
      <c r="D11" t="s">
        <v>13</v>
      </c>
      <c r="E11" t="s">
        <v>243</v>
      </c>
      <c r="F11">
        <v>40</v>
      </c>
      <c r="G11" t="s">
        <v>1400</v>
      </c>
    </row>
    <row r="12" spans="1:7" x14ac:dyDescent="0.2">
      <c r="A12">
        <v>1</v>
      </c>
      <c r="B12" t="s">
        <v>12</v>
      </c>
      <c r="C12" t="s">
        <v>580</v>
      </c>
      <c r="D12" t="s">
        <v>13</v>
      </c>
      <c r="E12" t="s">
        <v>581</v>
      </c>
      <c r="F12">
        <v>40</v>
      </c>
      <c r="G12" t="s">
        <v>1400</v>
      </c>
    </row>
    <row r="13" spans="1:7" x14ac:dyDescent="0.2">
      <c r="A13">
        <v>0.5</v>
      </c>
      <c r="B13" t="s">
        <v>12</v>
      </c>
      <c r="C13" t="s">
        <v>633</v>
      </c>
      <c r="D13" t="s">
        <v>13</v>
      </c>
      <c r="E13" t="s">
        <v>631</v>
      </c>
      <c r="F13">
        <v>40</v>
      </c>
      <c r="G13" t="s">
        <v>1400</v>
      </c>
    </row>
    <row r="14" spans="1:7" x14ac:dyDescent="0.2">
      <c r="A14">
        <v>300</v>
      </c>
      <c r="B14" t="s">
        <v>19</v>
      </c>
      <c r="C14" t="s">
        <v>990</v>
      </c>
      <c r="D14" t="s">
        <v>20</v>
      </c>
      <c r="E14" t="s">
        <v>988</v>
      </c>
      <c r="F14">
        <v>44</v>
      </c>
      <c r="G14" t="s">
        <v>1400</v>
      </c>
    </row>
    <row r="15" spans="1:7" x14ac:dyDescent="0.2">
      <c r="A15">
        <v>5</v>
      </c>
      <c r="B15" t="s">
        <v>19</v>
      </c>
      <c r="C15" t="s">
        <v>1101</v>
      </c>
      <c r="D15" t="s">
        <v>20</v>
      </c>
      <c r="E15" t="s">
        <v>1102</v>
      </c>
      <c r="F15">
        <v>30</v>
      </c>
      <c r="G15" t="s">
        <v>1400</v>
      </c>
    </row>
    <row r="16" spans="1:7" x14ac:dyDescent="0.2">
      <c r="A16">
        <v>20</v>
      </c>
      <c r="B16" t="s">
        <v>19</v>
      </c>
      <c r="C16" t="s">
        <v>85</v>
      </c>
      <c r="D16" t="s">
        <v>20</v>
      </c>
      <c r="E16" t="s">
        <v>34</v>
      </c>
      <c r="F16">
        <v>40</v>
      </c>
      <c r="G16" t="s">
        <v>1392</v>
      </c>
    </row>
    <row r="17" spans="1:7" x14ac:dyDescent="0.2">
      <c r="A17">
        <v>40</v>
      </c>
      <c r="B17" t="s">
        <v>19</v>
      </c>
      <c r="C17" t="s">
        <v>99</v>
      </c>
      <c r="D17" t="s">
        <v>20</v>
      </c>
      <c r="E17" t="s">
        <v>100</v>
      </c>
      <c r="F17">
        <v>40</v>
      </c>
      <c r="G17" t="s">
        <v>1392</v>
      </c>
    </row>
    <row r="18" spans="1:7" x14ac:dyDescent="0.2">
      <c r="A18">
        <v>40</v>
      </c>
      <c r="B18" t="s">
        <v>19</v>
      </c>
      <c r="C18" t="s">
        <v>93</v>
      </c>
      <c r="D18" t="s">
        <v>20</v>
      </c>
      <c r="E18" t="s">
        <v>45</v>
      </c>
      <c r="F18">
        <v>40</v>
      </c>
      <c r="G18" t="s">
        <v>1392</v>
      </c>
    </row>
    <row r="19" spans="1:7" x14ac:dyDescent="0.2">
      <c r="A19">
        <v>60</v>
      </c>
      <c r="B19" t="s">
        <v>19</v>
      </c>
      <c r="C19" t="s">
        <v>149</v>
      </c>
      <c r="D19" t="s">
        <v>20</v>
      </c>
      <c r="E19" t="s">
        <v>146</v>
      </c>
      <c r="F19">
        <v>40</v>
      </c>
      <c r="G19" t="s">
        <v>1392</v>
      </c>
    </row>
    <row r="20" spans="1:7" x14ac:dyDescent="0.2">
      <c r="A20">
        <v>10</v>
      </c>
      <c r="B20" t="s">
        <v>19</v>
      </c>
      <c r="C20" t="s">
        <v>1156</v>
      </c>
      <c r="D20" t="s">
        <v>20</v>
      </c>
      <c r="E20" t="s">
        <v>393</v>
      </c>
      <c r="F20">
        <v>18</v>
      </c>
      <c r="G20" t="s">
        <v>1392</v>
      </c>
    </row>
    <row r="21" spans="1:7" x14ac:dyDescent="0.2">
      <c r="A21">
        <v>10</v>
      </c>
      <c r="B21" t="s">
        <v>19</v>
      </c>
      <c r="C21" t="s">
        <v>401</v>
      </c>
      <c r="D21" t="s">
        <v>20</v>
      </c>
      <c r="E21" t="s">
        <v>374</v>
      </c>
      <c r="F21">
        <v>40</v>
      </c>
      <c r="G21" t="s">
        <v>1392</v>
      </c>
    </row>
    <row r="22" spans="1:7" x14ac:dyDescent="0.2">
      <c r="A22">
        <v>5</v>
      </c>
      <c r="B22" t="s">
        <v>19</v>
      </c>
      <c r="C22" t="s">
        <v>449</v>
      </c>
      <c r="D22" t="s">
        <v>20</v>
      </c>
      <c r="E22" t="s">
        <v>448</v>
      </c>
      <c r="F22">
        <v>40</v>
      </c>
      <c r="G22" t="s">
        <v>1392</v>
      </c>
    </row>
    <row r="23" spans="1:7" x14ac:dyDescent="0.2">
      <c r="A23">
        <v>8</v>
      </c>
      <c r="B23" t="s">
        <v>19</v>
      </c>
      <c r="C23" t="s">
        <v>1162</v>
      </c>
      <c r="D23" t="s">
        <v>20</v>
      </c>
      <c r="E23" t="s">
        <v>1129</v>
      </c>
      <c r="F23">
        <v>8</v>
      </c>
      <c r="G23" t="s">
        <v>1392</v>
      </c>
    </row>
    <row r="24" spans="1:7" x14ac:dyDescent="0.2">
      <c r="A24">
        <v>40</v>
      </c>
      <c r="B24" t="s">
        <v>19</v>
      </c>
      <c r="C24" t="s">
        <v>582</v>
      </c>
      <c r="D24" t="s">
        <v>20</v>
      </c>
      <c r="E24" t="s">
        <v>581</v>
      </c>
      <c r="F24">
        <v>40</v>
      </c>
      <c r="G24" t="s">
        <v>1392</v>
      </c>
    </row>
    <row r="25" spans="1:7" x14ac:dyDescent="0.2">
      <c r="A25">
        <v>10</v>
      </c>
      <c r="B25" t="s">
        <v>19</v>
      </c>
      <c r="C25" t="s">
        <v>633</v>
      </c>
      <c r="D25" t="s">
        <v>20</v>
      </c>
      <c r="E25" t="s">
        <v>631</v>
      </c>
      <c r="F25">
        <v>40</v>
      </c>
      <c r="G25" t="s">
        <v>1392</v>
      </c>
    </row>
    <row r="26" spans="1:7" x14ac:dyDescent="0.2">
      <c r="A26">
        <v>20</v>
      </c>
      <c r="B26" t="s">
        <v>19</v>
      </c>
      <c r="C26" t="s">
        <v>1324</v>
      </c>
      <c r="D26" t="s">
        <v>20</v>
      </c>
      <c r="E26" t="s">
        <v>745</v>
      </c>
      <c r="F26">
        <v>25</v>
      </c>
      <c r="G26" t="s">
        <v>1392</v>
      </c>
    </row>
    <row r="27" spans="1:7" x14ac:dyDescent="0.2">
      <c r="A27">
        <v>60</v>
      </c>
      <c r="B27" t="s">
        <v>19</v>
      </c>
      <c r="C27" t="s">
        <v>244</v>
      </c>
      <c r="D27" t="s">
        <v>20</v>
      </c>
      <c r="E27" t="s">
        <v>243</v>
      </c>
      <c r="F27">
        <v>40</v>
      </c>
      <c r="G27" t="s">
        <v>1392</v>
      </c>
    </row>
    <row r="28" spans="1:7" x14ac:dyDescent="0.2">
      <c r="A28">
        <v>10</v>
      </c>
      <c r="B28" t="s">
        <v>19</v>
      </c>
      <c r="C28" t="s">
        <v>180</v>
      </c>
      <c r="D28" t="s">
        <v>20</v>
      </c>
      <c r="E28" t="s">
        <v>178</v>
      </c>
      <c r="F28">
        <v>25</v>
      </c>
      <c r="G28" t="s">
        <v>1392</v>
      </c>
    </row>
    <row r="29" spans="1:7" x14ac:dyDescent="0.2">
      <c r="A29">
        <v>22</v>
      </c>
      <c r="B29" t="s">
        <v>19</v>
      </c>
      <c r="C29" t="s">
        <v>207</v>
      </c>
      <c r="D29" t="s">
        <v>20</v>
      </c>
      <c r="E29" t="s">
        <v>204</v>
      </c>
      <c r="F29">
        <v>22</v>
      </c>
      <c r="G29" t="s">
        <v>1392</v>
      </c>
    </row>
    <row r="30" spans="1:7" x14ac:dyDescent="0.2">
      <c r="A30">
        <v>10</v>
      </c>
      <c r="B30" t="s">
        <v>19</v>
      </c>
      <c r="C30" t="s">
        <v>227</v>
      </c>
      <c r="D30" t="s">
        <v>20</v>
      </c>
      <c r="E30" t="s">
        <v>228</v>
      </c>
      <c r="F30">
        <v>40</v>
      </c>
      <c r="G30" t="s">
        <v>1392</v>
      </c>
    </row>
    <row r="31" spans="1:7" x14ac:dyDescent="0.2">
      <c r="A31">
        <v>10</v>
      </c>
      <c r="B31" t="s">
        <v>19</v>
      </c>
      <c r="C31" t="s">
        <v>240</v>
      </c>
      <c r="D31" t="s">
        <v>20</v>
      </c>
      <c r="E31" t="s">
        <v>223</v>
      </c>
      <c r="F31">
        <v>50</v>
      </c>
      <c r="G31" t="s">
        <v>1392</v>
      </c>
    </row>
    <row r="32" spans="1:7" x14ac:dyDescent="0.2">
      <c r="A32">
        <v>50</v>
      </c>
      <c r="B32" t="s">
        <v>19</v>
      </c>
      <c r="C32" t="s">
        <v>247</v>
      </c>
      <c r="D32" t="s">
        <v>20</v>
      </c>
      <c r="E32" t="s">
        <v>248</v>
      </c>
      <c r="F32">
        <v>50</v>
      </c>
      <c r="G32" t="s">
        <v>1392</v>
      </c>
    </row>
    <row r="33" spans="1:7" x14ac:dyDescent="0.2">
      <c r="A33">
        <v>20</v>
      </c>
      <c r="B33" t="s">
        <v>19</v>
      </c>
      <c r="C33" t="s">
        <v>269</v>
      </c>
      <c r="D33" t="s">
        <v>20</v>
      </c>
      <c r="E33" t="s">
        <v>263</v>
      </c>
      <c r="F33">
        <v>20</v>
      </c>
      <c r="G33" t="s">
        <v>1392</v>
      </c>
    </row>
    <row r="34" spans="1:7" x14ac:dyDescent="0.2">
      <c r="A34">
        <v>5</v>
      </c>
      <c r="B34" t="s">
        <v>19</v>
      </c>
      <c r="C34" t="s">
        <v>272</v>
      </c>
      <c r="D34" t="s">
        <v>20</v>
      </c>
      <c r="E34" t="s">
        <v>271</v>
      </c>
      <c r="F34">
        <v>50</v>
      </c>
      <c r="G34" t="s">
        <v>1392</v>
      </c>
    </row>
    <row r="35" spans="1:7" x14ac:dyDescent="0.2">
      <c r="A35">
        <v>10</v>
      </c>
      <c r="B35" t="s">
        <v>19</v>
      </c>
      <c r="C35" t="s">
        <v>278</v>
      </c>
      <c r="D35" t="s">
        <v>20</v>
      </c>
      <c r="E35" t="s">
        <v>276</v>
      </c>
      <c r="F35">
        <v>30</v>
      </c>
      <c r="G35" t="s">
        <v>1392</v>
      </c>
    </row>
    <row r="36" spans="1:7" x14ac:dyDescent="0.2">
      <c r="A36">
        <v>15</v>
      </c>
      <c r="B36" t="s">
        <v>19</v>
      </c>
      <c r="C36" t="s">
        <v>310</v>
      </c>
      <c r="D36" t="s">
        <v>20</v>
      </c>
      <c r="E36" t="s">
        <v>311</v>
      </c>
      <c r="F36">
        <v>50</v>
      </c>
      <c r="G36" t="s">
        <v>1392</v>
      </c>
    </row>
    <row r="37" spans="1:7" x14ac:dyDescent="0.2">
      <c r="A37">
        <v>5</v>
      </c>
      <c r="B37" t="s">
        <v>19</v>
      </c>
      <c r="C37" t="s">
        <v>340</v>
      </c>
      <c r="D37" t="s">
        <v>20</v>
      </c>
      <c r="E37" t="s">
        <v>339</v>
      </c>
      <c r="F37">
        <v>25</v>
      </c>
      <c r="G37" t="s">
        <v>1392</v>
      </c>
    </row>
    <row r="38" spans="1:7" x14ac:dyDescent="0.2">
      <c r="A38">
        <v>10</v>
      </c>
      <c r="B38" t="s">
        <v>19</v>
      </c>
      <c r="C38" t="s">
        <v>372</v>
      </c>
      <c r="D38" t="s">
        <v>20</v>
      </c>
      <c r="E38" t="s">
        <v>371</v>
      </c>
      <c r="F38">
        <v>20</v>
      </c>
      <c r="G38" t="s">
        <v>1392</v>
      </c>
    </row>
    <row r="39" spans="1:7" x14ac:dyDescent="0.2">
      <c r="A39">
        <v>10</v>
      </c>
      <c r="B39" t="s">
        <v>19</v>
      </c>
      <c r="C39" t="s">
        <v>675</v>
      </c>
      <c r="D39" t="s">
        <v>20</v>
      </c>
      <c r="E39" t="s">
        <v>676</v>
      </c>
      <c r="F39">
        <v>25</v>
      </c>
      <c r="G39" t="s">
        <v>1392</v>
      </c>
    </row>
    <row r="40" spans="1:7" x14ac:dyDescent="0.2">
      <c r="A40">
        <v>10</v>
      </c>
      <c r="B40" t="s">
        <v>19</v>
      </c>
      <c r="C40" t="s">
        <v>440</v>
      </c>
      <c r="D40" t="s">
        <v>20</v>
      </c>
      <c r="E40" t="s">
        <v>439</v>
      </c>
      <c r="F40">
        <v>20</v>
      </c>
      <c r="G40" t="s">
        <v>1392</v>
      </c>
    </row>
    <row r="41" spans="1:7" x14ac:dyDescent="0.2">
      <c r="A41">
        <v>18</v>
      </c>
      <c r="B41" t="s">
        <v>19</v>
      </c>
      <c r="C41" t="s">
        <v>1185</v>
      </c>
      <c r="D41" t="s">
        <v>20</v>
      </c>
      <c r="E41" t="s">
        <v>1003</v>
      </c>
      <c r="F41">
        <v>18</v>
      </c>
      <c r="G41" t="s">
        <v>1392</v>
      </c>
    </row>
    <row r="42" spans="1:7" x14ac:dyDescent="0.2">
      <c r="A42">
        <v>5</v>
      </c>
      <c r="B42" t="s">
        <v>19</v>
      </c>
      <c r="C42" t="s">
        <v>536</v>
      </c>
      <c r="D42" t="s">
        <v>20</v>
      </c>
      <c r="E42" t="s">
        <v>534</v>
      </c>
      <c r="F42">
        <v>10</v>
      </c>
      <c r="G42" t="s">
        <v>1392</v>
      </c>
    </row>
    <row r="43" spans="1:7" x14ac:dyDescent="0.2">
      <c r="A43">
        <v>50</v>
      </c>
      <c r="B43" t="s">
        <v>19</v>
      </c>
      <c r="C43" t="s">
        <v>578</v>
      </c>
      <c r="D43" t="s">
        <v>20</v>
      </c>
      <c r="E43" t="s">
        <v>579</v>
      </c>
      <c r="F43">
        <v>50</v>
      </c>
      <c r="G43" t="s">
        <v>1392</v>
      </c>
    </row>
    <row r="44" spans="1:7" x14ac:dyDescent="0.2">
      <c r="A44">
        <v>2</v>
      </c>
      <c r="B44" t="s">
        <v>19</v>
      </c>
      <c r="C44" t="s">
        <v>326</v>
      </c>
      <c r="D44" t="s">
        <v>20</v>
      </c>
      <c r="E44" t="s">
        <v>327</v>
      </c>
      <c r="F44">
        <v>40</v>
      </c>
      <c r="G44" t="s">
        <v>1392</v>
      </c>
    </row>
    <row r="45" spans="1:7" x14ac:dyDescent="0.2">
      <c r="A45">
        <v>10</v>
      </c>
      <c r="B45" t="s">
        <v>19</v>
      </c>
      <c r="C45" t="s">
        <v>653</v>
      </c>
      <c r="D45" t="s">
        <v>20</v>
      </c>
      <c r="E45" t="s">
        <v>654</v>
      </c>
      <c r="F45">
        <v>25</v>
      </c>
      <c r="G45" t="s">
        <v>1392</v>
      </c>
    </row>
    <row r="46" spans="1:7" x14ac:dyDescent="0.2">
      <c r="A46">
        <v>35</v>
      </c>
      <c r="B46" t="s">
        <v>19</v>
      </c>
      <c r="C46" t="s">
        <v>946</v>
      </c>
      <c r="D46" t="s">
        <v>20</v>
      </c>
      <c r="E46" t="s">
        <v>945</v>
      </c>
      <c r="F46">
        <v>25</v>
      </c>
      <c r="G46" t="s">
        <v>1392</v>
      </c>
    </row>
    <row r="47" spans="1:7" x14ac:dyDescent="0.2">
      <c r="A47">
        <v>2</v>
      </c>
      <c r="B47" t="s">
        <v>19</v>
      </c>
      <c r="C47" t="s">
        <v>611</v>
      </c>
      <c r="D47" t="s">
        <v>20</v>
      </c>
      <c r="E47" t="s">
        <v>612</v>
      </c>
      <c r="F47">
        <v>10</v>
      </c>
      <c r="G47" t="s">
        <v>1392</v>
      </c>
    </row>
    <row r="48" spans="1:7" x14ac:dyDescent="0.2">
      <c r="A48">
        <v>10</v>
      </c>
      <c r="B48" t="s">
        <v>19</v>
      </c>
      <c r="C48" t="s">
        <v>924</v>
      </c>
      <c r="D48" t="s">
        <v>20</v>
      </c>
      <c r="E48" t="s">
        <v>922</v>
      </c>
      <c r="F48">
        <v>25</v>
      </c>
      <c r="G48" t="s">
        <v>1392</v>
      </c>
    </row>
    <row r="49" spans="1:7" x14ac:dyDescent="0.2">
      <c r="A49">
        <v>10</v>
      </c>
      <c r="B49" t="s">
        <v>19</v>
      </c>
      <c r="C49" t="s">
        <v>1207</v>
      </c>
      <c r="D49" t="s">
        <v>20</v>
      </c>
      <c r="E49" t="s">
        <v>468</v>
      </c>
      <c r="F49">
        <v>40</v>
      </c>
      <c r="G49" t="s">
        <v>1392</v>
      </c>
    </row>
    <row r="50" spans="1:7" x14ac:dyDescent="0.2">
      <c r="A50">
        <v>50</v>
      </c>
      <c r="B50" t="s">
        <v>19</v>
      </c>
      <c r="C50" t="s">
        <v>778</v>
      </c>
      <c r="D50" t="s">
        <v>20</v>
      </c>
      <c r="E50" t="s">
        <v>779</v>
      </c>
      <c r="F50">
        <v>50</v>
      </c>
      <c r="G50" t="s">
        <v>1392</v>
      </c>
    </row>
    <row r="51" spans="1:7" x14ac:dyDescent="0.2">
      <c r="A51">
        <v>11</v>
      </c>
      <c r="B51" t="s">
        <v>19</v>
      </c>
      <c r="C51" t="s">
        <v>207</v>
      </c>
      <c r="D51" t="s">
        <v>20</v>
      </c>
      <c r="E51" t="s">
        <v>204</v>
      </c>
      <c r="F51">
        <v>22</v>
      </c>
      <c r="G51" t="s">
        <v>1394</v>
      </c>
    </row>
    <row r="52" spans="1:7" x14ac:dyDescent="0.2">
      <c r="A52">
        <v>5</v>
      </c>
      <c r="B52" t="s">
        <v>19</v>
      </c>
      <c r="C52" t="s">
        <v>227</v>
      </c>
      <c r="D52" t="s">
        <v>20</v>
      </c>
      <c r="E52" t="s">
        <v>228</v>
      </c>
      <c r="F52">
        <v>40</v>
      </c>
      <c r="G52" t="s">
        <v>1394</v>
      </c>
    </row>
    <row r="53" spans="1:7" x14ac:dyDescent="0.2">
      <c r="A53">
        <v>5</v>
      </c>
      <c r="B53" t="s">
        <v>19</v>
      </c>
      <c r="C53" t="s">
        <v>235</v>
      </c>
      <c r="D53" t="s">
        <v>20</v>
      </c>
      <c r="E53" t="s">
        <v>221</v>
      </c>
      <c r="F53">
        <v>50</v>
      </c>
      <c r="G53" t="s">
        <v>1394</v>
      </c>
    </row>
    <row r="54" spans="1:7" x14ac:dyDescent="0.2">
      <c r="A54">
        <v>25</v>
      </c>
      <c r="B54" t="s">
        <v>19</v>
      </c>
      <c r="C54" t="s">
        <v>240</v>
      </c>
      <c r="D54" t="s">
        <v>20</v>
      </c>
      <c r="E54" t="s">
        <v>223</v>
      </c>
      <c r="F54">
        <v>50</v>
      </c>
      <c r="G54" t="s">
        <v>1394</v>
      </c>
    </row>
    <row r="55" spans="1:7" x14ac:dyDescent="0.2">
      <c r="A55">
        <v>10</v>
      </c>
      <c r="B55" t="s">
        <v>19</v>
      </c>
      <c r="C55" t="s">
        <v>269</v>
      </c>
      <c r="D55" t="s">
        <v>20</v>
      </c>
      <c r="E55" t="s">
        <v>263</v>
      </c>
      <c r="F55">
        <v>20</v>
      </c>
      <c r="G55" t="s">
        <v>1394</v>
      </c>
    </row>
    <row r="56" spans="1:7" x14ac:dyDescent="0.2">
      <c r="A56">
        <v>5</v>
      </c>
      <c r="B56" t="s">
        <v>19</v>
      </c>
      <c r="C56" t="s">
        <v>1185</v>
      </c>
      <c r="D56" t="s">
        <v>20</v>
      </c>
      <c r="E56" t="s">
        <v>1003</v>
      </c>
      <c r="F56">
        <v>18</v>
      </c>
      <c r="G56" t="s">
        <v>1394</v>
      </c>
    </row>
    <row r="57" spans="1:7" x14ac:dyDescent="0.2">
      <c r="A57">
        <v>10</v>
      </c>
      <c r="B57" t="s">
        <v>19</v>
      </c>
      <c r="C57" t="s">
        <v>310</v>
      </c>
      <c r="D57" t="s">
        <v>20</v>
      </c>
      <c r="E57" t="s">
        <v>311</v>
      </c>
      <c r="F57">
        <v>50</v>
      </c>
      <c r="G57" t="s">
        <v>1394</v>
      </c>
    </row>
    <row r="58" spans="1:7" x14ac:dyDescent="0.2">
      <c r="A58">
        <v>10</v>
      </c>
      <c r="B58" t="s">
        <v>19</v>
      </c>
      <c r="C58" t="s">
        <v>340</v>
      </c>
      <c r="D58" t="s">
        <v>20</v>
      </c>
      <c r="E58" t="s">
        <v>339</v>
      </c>
      <c r="F58">
        <v>25</v>
      </c>
      <c r="G58" t="s">
        <v>1394</v>
      </c>
    </row>
    <row r="59" spans="1:7" x14ac:dyDescent="0.2">
      <c r="A59">
        <v>10</v>
      </c>
      <c r="B59" t="s">
        <v>19</v>
      </c>
      <c r="C59" t="s">
        <v>536</v>
      </c>
      <c r="D59" t="s">
        <v>20</v>
      </c>
      <c r="E59" t="s">
        <v>534</v>
      </c>
      <c r="F59">
        <v>10</v>
      </c>
      <c r="G59" t="s">
        <v>1394</v>
      </c>
    </row>
    <row r="60" spans="1:7" x14ac:dyDescent="0.2">
      <c r="A60">
        <v>10</v>
      </c>
      <c r="B60" t="s">
        <v>19</v>
      </c>
      <c r="C60" t="s">
        <v>194</v>
      </c>
      <c r="D60" t="s">
        <v>20</v>
      </c>
      <c r="E60" t="s">
        <v>190</v>
      </c>
      <c r="F60">
        <v>40</v>
      </c>
      <c r="G60" t="s">
        <v>1394</v>
      </c>
    </row>
    <row r="61" spans="1:7" x14ac:dyDescent="0.2">
      <c r="A61">
        <v>10</v>
      </c>
      <c r="B61" t="s">
        <v>19</v>
      </c>
      <c r="C61" t="s">
        <v>675</v>
      </c>
      <c r="D61" t="s">
        <v>20</v>
      </c>
      <c r="E61" t="s">
        <v>676</v>
      </c>
      <c r="F61">
        <v>25</v>
      </c>
      <c r="G61" t="s">
        <v>1394</v>
      </c>
    </row>
    <row r="62" spans="1:7" x14ac:dyDescent="0.2">
      <c r="A62">
        <v>10</v>
      </c>
      <c r="B62" t="s">
        <v>19</v>
      </c>
      <c r="C62" t="s">
        <v>653</v>
      </c>
      <c r="D62" t="s">
        <v>20</v>
      </c>
      <c r="E62" t="s">
        <v>654</v>
      </c>
      <c r="F62">
        <v>25</v>
      </c>
      <c r="G62" t="s">
        <v>1394</v>
      </c>
    </row>
    <row r="63" spans="1:7" x14ac:dyDescent="0.2">
      <c r="A63">
        <v>10</v>
      </c>
      <c r="B63" t="s">
        <v>19</v>
      </c>
      <c r="C63" t="s">
        <v>778</v>
      </c>
      <c r="D63" t="s">
        <v>20</v>
      </c>
      <c r="E63" t="s">
        <v>779</v>
      </c>
      <c r="F63">
        <v>50</v>
      </c>
      <c r="G63" t="s">
        <v>1394</v>
      </c>
    </row>
    <row r="64" spans="1:7" x14ac:dyDescent="0.2">
      <c r="A64">
        <v>25</v>
      </c>
      <c r="B64" t="s">
        <v>19</v>
      </c>
      <c r="C64" t="s">
        <v>767</v>
      </c>
      <c r="D64" t="s">
        <v>20</v>
      </c>
      <c r="E64" t="s">
        <v>768</v>
      </c>
      <c r="F64">
        <v>50</v>
      </c>
      <c r="G64" t="s">
        <v>1394</v>
      </c>
    </row>
    <row r="65" spans="1:7" x14ac:dyDescent="0.2">
      <c r="A65">
        <v>5</v>
      </c>
      <c r="B65" t="s">
        <v>19</v>
      </c>
      <c r="C65" t="s">
        <v>776</v>
      </c>
      <c r="D65" t="s">
        <v>20</v>
      </c>
      <c r="E65" t="s">
        <v>777</v>
      </c>
      <c r="F65">
        <v>40</v>
      </c>
      <c r="G65" t="s">
        <v>1394</v>
      </c>
    </row>
    <row r="66" spans="1:7" x14ac:dyDescent="0.2">
      <c r="A66">
        <v>5</v>
      </c>
      <c r="B66" t="s">
        <v>19</v>
      </c>
      <c r="C66" t="s">
        <v>326</v>
      </c>
      <c r="D66" t="s">
        <v>20</v>
      </c>
      <c r="E66" t="s">
        <v>327</v>
      </c>
      <c r="F66">
        <v>40</v>
      </c>
      <c r="G66" t="s">
        <v>1394</v>
      </c>
    </row>
    <row r="67" spans="1:7" x14ac:dyDescent="0.2">
      <c r="A67">
        <v>25</v>
      </c>
      <c r="B67" t="s">
        <v>19</v>
      </c>
      <c r="C67" t="s">
        <v>946</v>
      </c>
      <c r="D67" t="s">
        <v>20</v>
      </c>
      <c r="E67" t="s">
        <v>945</v>
      </c>
      <c r="F67">
        <v>25</v>
      </c>
      <c r="G67" t="s">
        <v>1394</v>
      </c>
    </row>
    <row r="68" spans="1:7" x14ac:dyDescent="0.2">
      <c r="A68">
        <v>10</v>
      </c>
      <c r="B68" t="s">
        <v>19</v>
      </c>
      <c r="C68" t="s">
        <v>273</v>
      </c>
      <c r="D68" t="s">
        <v>20</v>
      </c>
      <c r="E68" t="s">
        <v>274</v>
      </c>
      <c r="F68">
        <v>20</v>
      </c>
      <c r="G68" t="s">
        <v>1394</v>
      </c>
    </row>
    <row r="69" spans="1:7" x14ac:dyDescent="0.2">
      <c r="A69">
        <v>5</v>
      </c>
      <c r="B69" t="s">
        <v>19</v>
      </c>
      <c r="C69" t="s">
        <v>440</v>
      </c>
      <c r="D69" t="s">
        <v>20</v>
      </c>
      <c r="E69" t="s">
        <v>439</v>
      </c>
      <c r="F69">
        <v>20</v>
      </c>
      <c r="G69" t="s">
        <v>1394</v>
      </c>
    </row>
    <row r="70" spans="1:7" x14ac:dyDescent="0.2">
      <c r="A70">
        <v>5</v>
      </c>
      <c r="B70" t="s">
        <v>19</v>
      </c>
      <c r="C70" t="s">
        <v>863</v>
      </c>
      <c r="D70" t="s">
        <v>20</v>
      </c>
      <c r="E70" t="s">
        <v>860</v>
      </c>
      <c r="F70">
        <v>10</v>
      </c>
      <c r="G70" t="s">
        <v>1394</v>
      </c>
    </row>
    <row r="71" spans="1:7" x14ac:dyDescent="0.2">
      <c r="A71">
        <v>20</v>
      </c>
      <c r="B71" t="s">
        <v>19</v>
      </c>
      <c r="C71" t="s">
        <v>1207</v>
      </c>
      <c r="D71" t="s">
        <v>20</v>
      </c>
      <c r="E71" t="s">
        <v>468</v>
      </c>
      <c r="F71">
        <v>40</v>
      </c>
      <c r="G71" t="s">
        <v>1394</v>
      </c>
    </row>
    <row r="72" spans="1:7" x14ac:dyDescent="0.2">
      <c r="A72">
        <v>5</v>
      </c>
      <c r="B72" t="s">
        <v>19</v>
      </c>
      <c r="C72" t="s">
        <v>497</v>
      </c>
      <c r="D72" t="s">
        <v>20</v>
      </c>
      <c r="E72" t="s">
        <v>495</v>
      </c>
      <c r="F72">
        <v>40</v>
      </c>
      <c r="G72" t="s">
        <v>1394</v>
      </c>
    </row>
    <row r="73" spans="1:7" x14ac:dyDescent="0.2">
      <c r="A73">
        <v>10</v>
      </c>
      <c r="B73" t="s">
        <v>19</v>
      </c>
      <c r="C73" t="s">
        <v>372</v>
      </c>
      <c r="D73" t="s">
        <v>20</v>
      </c>
      <c r="E73" t="s">
        <v>371</v>
      </c>
      <c r="F73">
        <v>20</v>
      </c>
      <c r="G73" t="s">
        <v>1394</v>
      </c>
    </row>
    <row r="74" spans="1:7" x14ac:dyDescent="0.2">
      <c r="A74">
        <v>2</v>
      </c>
      <c r="B74" t="s">
        <v>19</v>
      </c>
      <c r="C74" t="s">
        <v>611</v>
      </c>
      <c r="D74" t="s">
        <v>20</v>
      </c>
      <c r="E74" t="s">
        <v>612</v>
      </c>
      <c r="F74">
        <v>10</v>
      </c>
      <c r="G74" t="s">
        <v>1394</v>
      </c>
    </row>
    <row r="75" spans="1:7" x14ac:dyDescent="0.2">
      <c r="A75">
        <v>20</v>
      </c>
      <c r="B75" t="s">
        <v>19</v>
      </c>
      <c r="C75" t="s">
        <v>93</v>
      </c>
      <c r="D75" t="s">
        <v>20</v>
      </c>
      <c r="E75" t="s">
        <v>45</v>
      </c>
      <c r="F75">
        <v>40</v>
      </c>
      <c r="G75" t="s">
        <v>1394</v>
      </c>
    </row>
    <row r="76" spans="1:7" x14ac:dyDescent="0.2">
      <c r="A76">
        <v>20</v>
      </c>
      <c r="B76" t="s">
        <v>19</v>
      </c>
      <c r="C76" t="s">
        <v>149</v>
      </c>
      <c r="D76" t="s">
        <v>20</v>
      </c>
      <c r="E76" t="s">
        <v>146</v>
      </c>
      <c r="F76">
        <v>40</v>
      </c>
      <c r="G76" t="s">
        <v>1394</v>
      </c>
    </row>
    <row r="77" spans="1:7" x14ac:dyDescent="0.2">
      <c r="A77">
        <v>9</v>
      </c>
      <c r="B77" t="s">
        <v>19</v>
      </c>
      <c r="C77" t="s">
        <v>1156</v>
      </c>
      <c r="D77" t="s">
        <v>20</v>
      </c>
      <c r="E77" t="s">
        <v>393</v>
      </c>
      <c r="F77">
        <v>18</v>
      </c>
      <c r="G77" t="s">
        <v>1394</v>
      </c>
    </row>
    <row r="78" spans="1:7" x14ac:dyDescent="0.2">
      <c r="A78">
        <v>10</v>
      </c>
      <c r="B78" t="s">
        <v>19</v>
      </c>
      <c r="C78" t="s">
        <v>449</v>
      </c>
      <c r="D78" t="s">
        <v>20</v>
      </c>
      <c r="E78" t="s">
        <v>448</v>
      </c>
      <c r="F78">
        <v>40</v>
      </c>
      <c r="G78" t="s">
        <v>1394</v>
      </c>
    </row>
    <row r="79" spans="1:7" x14ac:dyDescent="0.2">
      <c r="A79">
        <v>5</v>
      </c>
      <c r="B79" t="s">
        <v>19</v>
      </c>
      <c r="C79" t="s">
        <v>1328</v>
      </c>
      <c r="D79" t="s">
        <v>20</v>
      </c>
      <c r="E79" t="s">
        <v>357</v>
      </c>
      <c r="F79">
        <v>25</v>
      </c>
      <c r="G79" t="s">
        <v>1394</v>
      </c>
    </row>
    <row r="80" spans="1:7" x14ac:dyDescent="0.2">
      <c r="A80">
        <v>13</v>
      </c>
      <c r="B80" t="s">
        <v>19</v>
      </c>
      <c r="C80" t="s">
        <v>990</v>
      </c>
      <c r="D80" t="s">
        <v>20</v>
      </c>
      <c r="E80" t="s">
        <v>988</v>
      </c>
      <c r="F80">
        <v>44</v>
      </c>
      <c r="G80" t="s">
        <v>1394</v>
      </c>
    </row>
    <row r="81" spans="1:7" x14ac:dyDescent="0.2">
      <c r="A81">
        <v>10</v>
      </c>
      <c r="B81" t="s">
        <v>19</v>
      </c>
      <c r="C81" t="s">
        <v>582</v>
      </c>
      <c r="D81" t="s">
        <v>20</v>
      </c>
      <c r="E81" t="s">
        <v>581</v>
      </c>
      <c r="F81">
        <v>40</v>
      </c>
      <c r="G81" t="s">
        <v>1394</v>
      </c>
    </row>
    <row r="82" spans="1:7" x14ac:dyDescent="0.2">
      <c r="A82">
        <v>20</v>
      </c>
      <c r="B82" t="s">
        <v>19</v>
      </c>
      <c r="C82" t="s">
        <v>85</v>
      </c>
      <c r="D82" t="s">
        <v>20</v>
      </c>
      <c r="E82" t="s">
        <v>34</v>
      </c>
      <c r="F82">
        <v>40</v>
      </c>
      <c r="G82" t="s">
        <v>1406</v>
      </c>
    </row>
    <row r="83" spans="1:7" x14ac:dyDescent="0.2">
      <c r="A83">
        <v>45</v>
      </c>
      <c r="B83" t="s">
        <v>19</v>
      </c>
      <c r="C83" t="s">
        <v>93</v>
      </c>
      <c r="D83" t="s">
        <v>20</v>
      </c>
      <c r="E83" t="s">
        <v>45</v>
      </c>
      <c r="F83">
        <v>40</v>
      </c>
      <c r="G83" t="s">
        <v>1406</v>
      </c>
    </row>
    <row r="84" spans="1:7" x14ac:dyDescent="0.2">
      <c r="A84">
        <v>5</v>
      </c>
      <c r="B84" t="s">
        <v>19</v>
      </c>
      <c r="C84" t="s">
        <v>1026</v>
      </c>
      <c r="D84" t="s">
        <v>20</v>
      </c>
      <c r="E84" t="s">
        <v>128</v>
      </c>
      <c r="F84">
        <v>25</v>
      </c>
      <c r="G84" t="s">
        <v>1406</v>
      </c>
    </row>
    <row r="85" spans="1:7" x14ac:dyDescent="0.2">
      <c r="A85">
        <v>20</v>
      </c>
      <c r="B85" t="s">
        <v>19</v>
      </c>
      <c r="C85" t="s">
        <v>149</v>
      </c>
      <c r="D85" t="s">
        <v>20</v>
      </c>
      <c r="E85" t="s">
        <v>146</v>
      </c>
      <c r="F85">
        <v>40</v>
      </c>
      <c r="G85" t="s">
        <v>1406</v>
      </c>
    </row>
    <row r="86" spans="1:7" x14ac:dyDescent="0.2">
      <c r="A86">
        <v>35</v>
      </c>
      <c r="B86" t="s">
        <v>19</v>
      </c>
      <c r="C86" t="s">
        <v>431</v>
      </c>
      <c r="D86" t="s">
        <v>20</v>
      </c>
      <c r="E86" t="s">
        <v>430</v>
      </c>
      <c r="F86">
        <v>20</v>
      </c>
      <c r="G86" t="s">
        <v>1406</v>
      </c>
    </row>
    <row r="87" spans="1:7" x14ac:dyDescent="0.2">
      <c r="A87">
        <v>35</v>
      </c>
      <c r="B87" t="s">
        <v>19</v>
      </c>
      <c r="C87" t="s">
        <v>1178</v>
      </c>
      <c r="D87" t="s">
        <v>20</v>
      </c>
      <c r="E87" t="s">
        <v>930</v>
      </c>
      <c r="F87">
        <v>30</v>
      </c>
      <c r="G87" t="s">
        <v>1406</v>
      </c>
    </row>
    <row r="88" spans="1:7" x14ac:dyDescent="0.2">
      <c r="A88">
        <v>20</v>
      </c>
      <c r="B88" t="s">
        <v>19</v>
      </c>
      <c r="C88" t="s">
        <v>633</v>
      </c>
      <c r="D88" t="s">
        <v>20</v>
      </c>
      <c r="E88" t="s">
        <v>631</v>
      </c>
      <c r="F88">
        <v>40</v>
      </c>
      <c r="G88" t="s">
        <v>1406</v>
      </c>
    </row>
    <row r="89" spans="1:7" x14ac:dyDescent="0.2">
      <c r="A89">
        <v>35</v>
      </c>
      <c r="B89" t="s">
        <v>19</v>
      </c>
      <c r="C89" t="s">
        <v>244</v>
      </c>
      <c r="D89" t="s">
        <v>20</v>
      </c>
      <c r="E89" t="s">
        <v>243</v>
      </c>
      <c r="F89">
        <v>40</v>
      </c>
      <c r="G89" t="s">
        <v>1406</v>
      </c>
    </row>
    <row r="90" spans="1:7" x14ac:dyDescent="0.2">
      <c r="A90">
        <v>22</v>
      </c>
      <c r="B90" t="s">
        <v>19</v>
      </c>
      <c r="C90" t="s">
        <v>990</v>
      </c>
      <c r="D90" t="s">
        <v>20</v>
      </c>
      <c r="E90" t="s">
        <v>988</v>
      </c>
      <c r="F90">
        <v>44</v>
      </c>
      <c r="G90" t="s">
        <v>1406</v>
      </c>
    </row>
    <row r="91" spans="1:7" x14ac:dyDescent="0.2">
      <c r="A91">
        <v>5</v>
      </c>
      <c r="B91" t="s">
        <v>19</v>
      </c>
      <c r="C91" t="s">
        <v>182</v>
      </c>
      <c r="D91" t="s">
        <v>20</v>
      </c>
      <c r="E91" t="s">
        <v>183</v>
      </c>
      <c r="F91">
        <v>30</v>
      </c>
      <c r="G91" t="s">
        <v>1406</v>
      </c>
    </row>
    <row r="92" spans="1:7" x14ac:dyDescent="0.2">
      <c r="A92">
        <v>20</v>
      </c>
      <c r="B92" t="s">
        <v>19</v>
      </c>
      <c r="C92" t="s">
        <v>194</v>
      </c>
      <c r="D92" t="s">
        <v>20</v>
      </c>
      <c r="E92" t="s">
        <v>190</v>
      </c>
      <c r="F92">
        <v>40</v>
      </c>
      <c r="G92" t="s">
        <v>1406</v>
      </c>
    </row>
    <row r="93" spans="1:7" x14ac:dyDescent="0.2">
      <c r="A93">
        <v>20</v>
      </c>
      <c r="B93" t="s">
        <v>19</v>
      </c>
      <c r="C93" t="s">
        <v>340</v>
      </c>
      <c r="D93" t="s">
        <v>20</v>
      </c>
      <c r="E93" t="s">
        <v>339</v>
      </c>
      <c r="F93">
        <v>25</v>
      </c>
      <c r="G93" t="s">
        <v>1406</v>
      </c>
    </row>
    <row r="94" spans="1:7" x14ac:dyDescent="0.2">
      <c r="A94">
        <v>15</v>
      </c>
      <c r="B94" t="s">
        <v>19</v>
      </c>
      <c r="C94" t="s">
        <v>207</v>
      </c>
      <c r="D94" t="s">
        <v>20</v>
      </c>
      <c r="E94" t="s">
        <v>204</v>
      </c>
      <c r="F94">
        <v>22</v>
      </c>
      <c r="G94" t="s">
        <v>1406</v>
      </c>
    </row>
    <row r="95" spans="1:7" x14ac:dyDescent="0.2">
      <c r="A95">
        <v>25</v>
      </c>
      <c r="B95" t="s">
        <v>19</v>
      </c>
      <c r="C95" t="s">
        <v>240</v>
      </c>
      <c r="D95" t="s">
        <v>20</v>
      </c>
      <c r="E95" t="s">
        <v>223</v>
      </c>
      <c r="F95">
        <v>50</v>
      </c>
      <c r="G95" t="s">
        <v>1406</v>
      </c>
    </row>
    <row r="96" spans="1:7" x14ac:dyDescent="0.2">
      <c r="A96">
        <v>25</v>
      </c>
      <c r="B96" t="s">
        <v>19</v>
      </c>
      <c r="C96" t="s">
        <v>235</v>
      </c>
      <c r="D96" t="s">
        <v>20</v>
      </c>
      <c r="E96" t="s">
        <v>221</v>
      </c>
      <c r="F96">
        <v>50</v>
      </c>
      <c r="G96" t="s">
        <v>1406</v>
      </c>
    </row>
    <row r="97" spans="1:7" x14ac:dyDescent="0.2">
      <c r="A97">
        <v>25</v>
      </c>
      <c r="B97" t="s">
        <v>19</v>
      </c>
      <c r="C97" t="s">
        <v>247</v>
      </c>
      <c r="D97" t="s">
        <v>20</v>
      </c>
      <c r="E97" t="s">
        <v>248</v>
      </c>
      <c r="F97">
        <v>50</v>
      </c>
      <c r="G97" t="s">
        <v>1406</v>
      </c>
    </row>
    <row r="98" spans="1:7" x14ac:dyDescent="0.2">
      <c r="A98">
        <v>5</v>
      </c>
      <c r="B98" t="s">
        <v>19</v>
      </c>
      <c r="C98" t="s">
        <v>272</v>
      </c>
      <c r="D98" t="s">
        <v>20</v>
      </c>
      <c r="E98" t="s">
        <v>271</v>
      </c>
      <c r="F98">
        <v>50</v>
      </c>
      <c r="G98" t="s">
        <v>1406</v>
      </c>
    </row>
    <row r="99" spans="1:7" x14ac:dyDescent="0.2">
      <c r="A99">
        <v>25</v>
      </c>
      <c r="B99" t="s">
        <v>19</v>
      </c>
      <c r="C99" t="s">
        <v>310</v>
      </c>
      <c r="D99" t="s">
        <v>20</v>
      </c>
      <c r="E99" t="s">
        <v>311</v>
      </c>
      <c r="F99">
        <v>50</v>
      </c>
      <c r="G99" t="s">
        <v>1406</v>
      </c>
    </row>
    <row r="100" spans="1:7" x14ac:dyDescent="0.2">
      <c r="A100">
        <v>20</v>
      </c>
      <c r="B100" t="s">
        <v>19</v>
      </c>
      <c r="C100" t="s">
        <v>675</v>
      </c>
      <c r="D100" t="s">
        <v>20</v>
      </c>
      <c r="E100" t="s">
        <v>676</v>
      </c>
      <c r="F100">
        <v>25</v>
      </c>
      <c r="G100" t="s">
        <v>1406</v>
      </c>
    </row>
    <row r="101" spans="1:7" x14ac:dyDescent="0.2">
      <c r="A101">
        <v>10</v>
      </c>
      <c r="B101" t="s">
        <v>19</v>
      </c>
      <c r="C101" t="s">
        <v>544</v>
      </c>
      <c r="D101" t="s">
        <v>20</v>
      </c>
      <c r="E101" t="s">
        <v>543</v>
      </c>
      <c r="F101">
        <v>15</v>
      </c>
      <c r="G101" t="s">
        <v>1406</v>
      </c>
    </row>
    <row r="102" spans="1:7" x14ac:dyDescent="0.2">
      <c r="A102">
        <v>2</v>
      </c>
      <c r="B102" t="s">
        <v>19</v>
      </c>
      <c r="C102" t="s">
        <v>440</v>
      </c>
      <c r="D102" t="s">
        <v>20</v>
      </c>
      <c r="E102" t="s">
        <v>439</v>
      </c>
      <c r="F102">
        <v>20</v>
      </c>
      <c r="G102" t="s">
        <v>1406</v>
      </c>
    </row>
    <row r="103" spans="1:7" x14ac:dyDescent="0.2">
      <c r="A103">
        <v>20</v>
      </c>
      <c r="B103" t="s">
        <v>19</v>
      </c>
      <c r="C103" t="s">
        <v>1207</v>
      </c>
      <c r="D103" t="s">
        <v>20</v>
      </c>
      <c r="E103" t="s">
        <v>468</v>
      </c>
      <c r="F103">
        <v>40</v>
      </c>
      <c r="G103" t="s">
        <v>1406</v>
      </c>
    </row>
    <row r="104" spans="1:7" x14ac:dyDescent="0.2">
      <c r="A104">
        <v>10</v>
      </c>
      <c r="B104" t="s">
        <v>19</v>
      </c>
      <c r="C104" t="s">
        <v>449</v>
      </c>
      <c r="D104" t="s">
        <v>20</v>
      </c>
      <c r="E104" t="s">
        <v>448</v>
      </c>
      <c r="F104">
        <v>40</v>
      </c>
      <c r="G104" t="s">
        <v>1406</v>
      </c>
    </row>
    <row r="105" spans="1:7" x14ac:dyDescent="0.2">
      <c r="A105">
        <v>10</v>
      </c>
      <c r="B105" t="s">
        <v>19</v>
      </c>
      <c r="C105" t="s">
        <v>578</v>
      </c>
      <c r="D105" t="s">
        <v>20</v>
      </c>
      <c r="E105" t="s">
        <v>579</v>
      </c>
      <c r="F105">
        <v>50</v>
      </c>
      <c r="G105" t="s">
        <v>1406</v>
      </c>
    </row>
    <row r="106" spans="1:7" x14ac:dyDescent="0.2">
      <c r="A106">
        <v>25</v>
      </c>
      <c r="B106" t="s">
        <v>19</v>
      </c>
      <c r="C106" t="s">
        <v>554</v>
      </c>
      <c r="D106" t="s">
        <v>20</v>
      </c>
      <c r="E106" t="s">
        <v>555</v>
      </c>
      <c r="F106">
        <v>25</v>
      </c>
      <c r="G106" t="s">
        <v>1406</v>
      </c>
    </row>
    <row r="107" spans="1:7" x14ac:dyDescent="0.2">
      <c r="A107">
        <v>150</v>
      </c>
      <c r="B107" t="s">
        <v>19</v>
      </c>
      <c r="C107" t="s">
        <v>778</v>
      </c>
      <c r="D107" t="s">
        <v>20</v>
      </c>
      <c r="E107" t="s">
        <v>779</v>
      </c>
      <c r="F107">
        <v>50</v>
      </c>
      <c r="G107" t="s">
        <v>1406</v>
      </c>
    </row>
    <row r="108" spans="1:7" x14ac:dyDescent="0.2">
      <c r="A108">
        <v>10</v>
      </c>
      <c r="B108" t="s">
        <v>19</v>
      </c>
      <c r="C108" t="s">
        <v>1219</v>
      </c>
      <c r="D108" t="s">
        <v>20</v>
      </c>
      <c r="E108" t="s">
        <v>819</v>
      </c>
      <c r="F108">
        <v>10</v>
      </c>
      <c r="G108" t="s">
        <v>1406</v>
      </c>
    </row>
    <row r="109" spans="1:7" x14ac:dyDescent="0.2">
      <c r="A109">
        <v>20</v>
      </c>
      <c r="B109" t="s">
        <v>19</v>
      </c>
      <c r="C109" t="s">
        <v>653</v>
      </c>
      <c r="D109" t="s">
        <v>20</v>
      </c>
      <c r="E109" t="s">
        <v>654</v>
      </c>
      <c r="F109">
        <v>25</v>
      </c>
      <c r="G109" t="s">
        <v>1406</v>
      </c>
    </row>
    <row r="110" spans="1:7" x14ac:dyDescent="0.2">
      <c r="A110">
        <v>15</v>
      </c>
      <c r="B110" t="s">
        <v>19</v>
      </c>
      <c r="C110" t="s">
        <v>1127</v>
      </c>
      <c r="D110" t="s">
        <v>20</v>
      </c>
      <c r="E110" t="s">
        <v>889</v>
      </c>
      <c r="F110">
        <v>40</v>
      </c>
      <c r="G110" t="s">
        <v>1406</v>
      </c>
    </row>
    <row r="111" spans="1:7" x14ac:dyDescent="0.2">
      <c r="A111">
        <v>2</v>
      </c>
      <c r="B111" t="s">
        <v>19</v>
      </c>
      <c r="C111" t="s">
        <v>444</v>
      </c>
      <c r="D111" t="s">
        <v>20</v>
      </c>
      <c r="E111" t="s">
        <v>443</v>
      </c>
      <c r="F111">
        <v>20</v>
      </c>
      <c r="G111" t="s">
        <v>1406</v>
      </c>
    </row>
    <row r="112" spans="1:7" x14ac:dyDescent="0.2">
      <c r="A112">
        <v>1</v>
      </c>
      <c r="B112" t="s">
        <v>19</v>
      </c>
      <c r="C112" t="s">
        <v>1407</v>
      </c>
      <c r="D112" t="s">
        <v>20</v>
      </c>
      <c r="E112" t="s">
        <v>1408</v>
      </c>
      <c r="F112">
        <v>20</v>
      </c>
      <c r="G112" t="s">
        <v>1406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1:B5"/>
  <sheetViews>
    <sheetView workbookViewId="0">
      <selection activeCell="C3" sqref="C3"/>
    </sheetView>
  </sheetViews>
  <sheetFormatPr defaultRowHeight="12.75" x14ac:dyDescent="0.2"/>
  <cols>
    <col min="1" max="1" width="27" bestFit="1" customWidth="1"/>
    <col min="2" max="2" width="12.5" bestFit="1" customWidth="1"/>
  </cols>
  <sheetData>
    <row r="1" spans="1:2" x14ac:dyDescent="0.2">
      <c r="A1" t="s">
        <v>1206</v>
      </c>
      <c r="B1" t="s">
        <v>1405</v>
      </c>
    </row>
    <row r="2" spans="1:2" x14ac:dyDescent="0.2">
      <c r="A2" t="s">
        <v>1400</v>
      </c>
      <c r="B2">
        <v>14</v>
      </c>
    </row>
    <row r="3" spans="1:2" x14ac:dyDescent="0.2">
      <c r="A3" t="s">
        <v>1392</v>
      </c>
      <c r="B3">
        <v>35</v>
      </c>
    </row>
    <row r="4" spans="1:2" x14ac:dyDescent="0.2">
      <c r="A4" t="s">
        <v>1394</v>
      </c>
      <c r="B4">
        <v>31</v>
      </c>
    </row>
    <row r="5" spans="1:2" x14ac:dyDescent="0.2">
      <c r="A5" t="s">
        <v>1406</v>
      </c>
      <c r="B5">
        <v>31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1398</v>
      </c>
      <c r="B1" s="61" t="s">
        <v>1400</v>
      </c>
      <c r="C1" s="62"/>
      <c r="D1" s="20"/>
    </row>
    <row r="2" spans="1:4" ht="24" thickBot="1" x14ac:dyDescent="0.25">
      <c r="A2" s="18" t="s">
        <v>1399</v>
      </c>
      <c r="B2" s="61"/>
      <c r="C2" s="62"/>
      <c r="D2" s="20"/>
    </row>
    <row r="3" spans="1:4" ht="15" x14ac:dyDescent="0.2">
      <c r="A3" s="21"/>
      <c r="B3" s="63"/>
      <c r="C3" s="64"/>
      <c r="D3" s="22"/>
    </row>
    <row r="4" spans="1:4" x14ac:dyDescent="0.2">
      <c r="A4" s="30">
        <v>1</v>
      </c>
      <c r="B4" s="31" t="s">
        <v>13</v>
      </c>
      <c r="C4" s="32" t="s">
        <v>146</v>
      </c>
      <c r="D4" s="6"/>
    </row>
    <row r="5" spans="1:4" x14ac:dyDescent="0.2">
      <c r="A5" s="30">
        <v>5.5</v>
      </c>
      <c r="B5" s="31" t="s">
        <v>13</v>
      </c>
      <c r="C5" s="32" t="s">
        <v>190</v>
      </c>
      <c r="D5" s="6"/>
    </row>
    <row r="6" spans="1:4" x14ac:dyDescent="0.2">
      <c r="A6" s="30">
        <v>0.5</v>
      </c>
      <c r="B6" s="31" t="s">
        <v>13</v>
      </c>
      <c r="C6" s="32" t="s">
        <v>223</v>
      </c>
      <c r="D6" s="6"/>
    </row>
    <row r="7" spans="1:4" x14ac:dyDescent="0.2">
      <c r="A7" s="30">
        <v>1.5</v>
      </c>
      <c r="B7" s="31" t="s">
        <v>13</v>
      </c>
      <c r="C7" s="32" t="s">
        <v>243</v>
      </c>
      <c r="D7" s="6"/>
    </row>
    <row r="8" spans="1:4" x14ac:dyDescent="0.2">
      <c r="A8" s="30">
        <v>0.5</v>
      </c>
      <c r="B8" s="31" t="s">
        <v>13</v>
      </c>
      <c r="C8" s="32" t="s">
        <v>271</v>
      </c>
      <c r="D8" s="6"/>
    </row>
    <row r="9" spans="1:4" x14ac:dyDescent="0.2">
      <c r="A9" s="30">
        <v>5</v>
      </c>
      <c r="B9" s="31" t="s">
        <v>20</v>
      </c>
      <c r="C9" s="32" t="s">
        <v>1102</v>
      </c>
      <c r="D9" s="6"/>
    </row>
    <row r="10" spans="1:4" x14ac:dyDescent="0.2">
      <c r="A10" s="30">
        <v>65</v>
      </c>
      <c r="B10" s="31" t="s">
        <v>20</v>
      </c>
      <c r="C10" s="32" t="s">
        <v>468</v>
      </c>
      <c r="D10" s="6"/>
    </row>
    <row r="11" spans="1:4" x14ac:dyDescent="0.2">
      <c r="A11" s="30">
        <v>1</v>
      </c>
      <c r="B11" s="31" t="s">
        <v>13</v>
      </c>
      <c r="C11" s="32" t="s">
        <v>581</v>
      </c>
      <c r="D11" s="6"/>
    </row>
    <row r="12" spans="1:4" x14ac:dyDescent="0.2">
      <c r="A12" s="30">
        <v>0.5</v>
      </c>
      <c r="B12" s="31" t="s">
        <v>13</v>
      </c>
      <c r="C12" s="32" t="s">
        <v>631</v>
      </c>
      <c r="D12" s="6"/>
    </row>
    <row r="13" spans="1:4" x14ac:dyDescent="0.2">
      <c r="A13" s="30">
        <v>1</v>
      </c>
      <c r="B13" s="31" t="s">
        <v>26</v>
      </c>
      <c r="C13" s="32" t="s">
        <v>779</v>
      </c>
      <c r="D13" s="6"/>
    </row>
    <row r="14" spans="1:4" x14ac:dyDescent="0.2">
      <c r="A14" s="30">
        <v>15</v>
      </c>
      <c r="B14" s="31" t="s">
        <v>41</v>
      </c>
      <c r="C14" s="32" t="s">
        <v>834</v>
      </c>
      <c r="D14" s="6"/>
    </row>
    <row r="15" spans="1:4" x14ac:dyDescent="0.2">
      <c r="A15" s="30">
        <v>2</v>
      </c>
      <c r="B15" s="31" t="s">
        <v>13</v>
      </c>
      <c r="C15" s="32" t="s">
        <v>945</v>
      </c>
      <c r="D15" s="6"/>
    </row>
    <row r="16" spans="1:4" x14ac:dyDescent="0.2">
      <c r="A16" s="30">
        <v>300</v>
      </c>
      <c r="B16" s="31" t="s">
        <v>20</v>
      </c>
      <c r="C16" s="32" t="s">
        <v>988</v>
      </c>
      <c r="D16" s="6"/>
    </row>
    <row r="17" spans="1:4" x14ac:dyDescent="0.2">
      <c r="A17" s="30">
        <v>1</v>
      </c>
      <c r="B17" s="31" t="s">
        <v>13</v>
      </c>
      <c r="C17" s="32" t="s">
        <v>1003</v>
      </c>
      <c r="D17" s="6"/>
    </row>
    <row r="18" spans="1:4" x14ac:dyDescent="0.2">
      <c r="A18" s="30"/>
      <c r="B18" s="31"/>
      <c r="C18" s="32"/>
      <c r="D18" s="6"/>
    </row>
    <row r="19" spans="1:4" x14ac:dyDescent="0.2">
      <c r="A19" s="30"/>
      <c r="B19" s="31"/>
      <c r="C19" s="32"/>
      <c r="D19" s="6"/>
    </row>
    <row r="20" spans="1:4" x14ac:dyDescent="0.2">
      <c r="A20" s="30"/>
      <c r="B20" s="31"/>
      <c r="C20" s="32"/>
      <c r="D20" s="6"/>
    </row>
    <row r="21" spans="1:4" x14ac:dyDescent="0.2">
      <c r="A21" s="30"/>
      <c r="B21" s="31"/>
      <c r="C21" s="32"/>
      <c r="D21" s="6"/>
    </row>
    <row r="22" spans="1:4" x14ac:dyDescent="0.2">
      <c r="A22" s="30"/>
      <c r="B22" s="31"/>
      <c r="C22" s="32"/>
      <c r="D22" s="6"/>
    </row>
    <row r="23" spans="1:4" x14ac:dyDescent="0.2">
      <c r="A23" s="30"/>
      <c r="B23" s="31"/>
      <c r="C23" s="32"/>
      <c r="D23" s="6"/>
    </row>
    <row r="24" spans="1:4" x14ac:dyDescent="0.2">
      <c r="A24" s="30"/>
      <c r="B24" s="31"/>
      <c r="C24" s="32"/>
      <c r="D24" s="6"/>
    </row>
    <row r="25" spans="1:4" x14ac:dyDescent="0.2">
      <c r="A25" s="30"/>
      <c r="B25" s="31"/>
      <c r="C25" s="32"/>
      <c r="D25" s="6"/>
    </row>
    <row r="26" spans="1:4" x14ac:dyDescent="0.2">
      <c r="A26" s="30"/>
      <c r="B26" s="31"/>
      <c r="C26" s="32"/>
      <c r="D26" s="6"/>
    </row>
    <row r="27" spans="1:4" x14ac:dyDescent="0.2">
      <c r="A27" s="30"/>
      <c r="B27" s="31"/>
      <c r="C27" s="32"/>
      <c r="D27" s="6"/>
    </row>
    <row r="28" spans="1:4" x14ac:dyDescent="0.2">
      <c r="A28" s="30"/>
      <c r="B28" s="31"/>
      <c r="C28" s="32"/>
      <c r="D28" s="6"/>
    </row>
    <row r="29" spans="1:4" x14ac:dyDescent="0.2">
      <c r="A29" s="30"/>
      <c r="B29" s="31"/>
      <c r="C29" s="32"/>
      <c r="D29" s="6"/>
    </row>
    <row r="30" spans="1:4" x14ac:dyDescent="0.2">
      <c r="A30" s="30"/>
      <c r="B30" s="31"/>
      <c r="C30" s="32"/>
      <c r="D30" s="6"/>
    </row>
    <row r="31" spans="1:4" x14ac:dyDescent="0.2">
      <c r="A31" s="30"/>
      <c r="B31" s="31"/>
      <c r="C31" s="32"/>
      <c r="D31" s="6"/>
    </row>
    <row r="32" spans="1:4" x14ac:dyDescent="0.2">
      <c r="A32" s="30"/>
      <c r="B32" s="31"/>
      <c r="C32" s="32"/>
      <c r="D32" s="6"/>
    </row>
    <row r="33" spans="1:4" x14ac:dyDescent="0.2">
      <c r="A33" s="30"/>
      <c r="B33" s="31"/>
      <c r="C33" s="32"/>
      <c r="D33" s="6"/>
    </row>
    <row r="34" spans="1:4" x14ac:dyDescent="0.2">
      <c r="A34" s="30"/>
      <c r="B34" s="31"/>
      <c r="C34" s="32"/>
      <c r="D34" s="6"/>
    </row>
    <row r="35" spans="1:4" x14ac:dyDescent="0.2">
      <c r="A35" s="30"/>
      <c r="B35" s="31"/>
      <c r="C35" s="32"/>
      <c r="D35" s="6"/>
    </row>
    <row r="36" spans="1:4" x14ac:dyDescent="0.2">
      <c r="A36" s="30"/>
      <c r="B36" s="31"/>
      <c r="C36" s="32"/>
      <c r="D36" s="6"/>
    </row>
    <row r="37" spans="1:4" x14ac:dyDescent="0.2">
      <c r="A37" s="30"/>
      <c r="B37" s="31"/>
      <c r="C37" s="32"/>
      <c r="D37" s="6"/>
    </row>
    <row r="38" spans="1:4" x14ac:dyDescent="0.2">
      <c r="A38" s="30"/>
      <c r="B38" s="31"/>
      <c r="C38" s="32"/>
      <c r="D38" s="6"/>
    </row>
    <row r="39" spans="1:4" x14ac:dyDescent="0.2">
      <c r="A39" s="30"/>
      <c r="B39" s="31"/>
      <c r="C39" s="32"/>
      <c r="D39" s="6"/>
    </row>
    <row r="40" spans="1:4" x14ac:dyDescent="0.2">
      <c r="A40" s="30"/>
      <c r="B40" s="31"/>
      <c r="C40" s="32"/>
      <c r="D40" s="6"/>
    </row>
    <row r="41" spans="1:4" x14ac:dyDescent="0.2">
      <c r="A41" s="30"/>
      <c r="B41" s="31"/>
      <c r="C41" s="32"/>
      <c r="D41" s="6"/>
    </row>
    <row r="42" spans="1:4" x14ac:dyDescent="0.2">
      <c r="A42" s="30"/>
      <c r="B42" s="31"/>
      <c r="C42" s="32"/>
      <c r="D42" s="6"/>
    </row>
    <row r="43" spans="1:4" x14ac:dyDescent="0.2">
      <c r="A43" s="30"/>
      <c r="B43" s="31"/>
      <c r="C43" s="32"/>
      <c r="D43" s="6"/>
    </row>
    <row r="44" spans="1:4" x14ac:dyDescent="0.2">
      <c r="A44" s="30"/>
      <c r="B44" s="31"/>
      <c r="C44" s="32"/>
      <c r="D44" s="6"/>
    </row>
    <row r="45" spans="1:4" x14ac:dyDescent="0.2">
      <c r="A45" s="30"/>
      <c r="B45" s="31"/>
      <c r="C45" s="32"/>
      <c r="D45" s="6"/>
    </row>
    <row r="46" spans="1:4" x14ac:dyDescent="0.2">
      <c r="A46" s="30"/>
      <c r="B46" s="31"/>
      <c r="C46" s="32"/>
      <c r="D46" s="6"/>
    </row>
    <row r="47" spans="1:4" x14ac:dyDescent="0.2">
      <c r="A47" s="30"/>
      <c r="B47" s="31"/>
      <c r="C47" s="32"/>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1"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BD6E3-1ACB-4FA9-AAD8-375DA17F12BD}">
  <sheetPr codeName="Sheet7">
    <pageSetUpPr fitToPage="1"/>
  </sheetPr>
  <dimension ref="A1:D1150"/>
  <sheetViews>
    <sheetView zoomScale="85" zoomScaleNormal="85" workbookViewId="0">
      <selection activeCell="A17" sqref="A1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1340</v>
      </c>
      <c r="B1" s="61" t="s">
        <v>1400</v>
      </c>
      <c r="C1" s="62"/>
      <c r="D1" s="20"/>
    </row>
    <row r="2" spans="1:4" ht="24" thickBot="1" x14ac:dyDescent="0.25">
      <c r="A2" s="18" t="s">
        <v>1341</v>
      </c>
      <c r="B2" s="61"/>
      <c r="C2" s="62"/>
      <c r="D2" s="20"/>
    </row>
    <row r="3" spans="1:4" ht="15" x14ac:dyDescent="0.2">
      <c r="A3" s="21"/>
      <c r="B3" s="63"/>
      <c r="C3" s="64"/>
      <c r="D3" s="22" t="s">
        <v>1091</v>
      </c>
    </row>
    <row r="4" spans="1:4" x14ac:dyDescent="0.2">
      <c r="A4" s="30">
        <v>1</v>
      </c>
      <c r="B4" s="31" t="s">
        <v>13</v>
      </c>
      <c r="C4" s="32" t="s">
        <v>146</v>
      </c>
      <c r="D4" s="6" t="str">
        <f>IF(AND(C4&gt;"",_xlfn.XLOOKUP(C4,'Master List'!$C:$C,'Master List'!E:E)=0),"NEEDS CASE WEIGHT","")</f>
        <v/>
      </c>
    </row>
    <row r="5" spans="1:4" x14ac:dyDescent="0.2">
      <c r="A5" s="30">
        <v>5.5</v>
      </c>
      <c r="B5" s="31" t="s">
        <v>13</v>
      </c>
      <c r="C5" s="32" t="s">
        <v>190</v>
      </c>
      <c r="D5" s="6" t="str">
        <f>IF(AND(C5&gt;"",_xlfn.XLOOKUP(C5,'Master List'!$C:$C,'Master List'!E:E)=0),"NEEDS CASE WEIGHT","")</f>
        <v/>
      </c>
    </row>
    <row r="6" spans="1:4" x14ac:dyDescent="0.2">
      <c r="A6" s="30">
        <v>0.5</v>
      </c>
      <c r="B6" s="31" t="s">
        <v>13</v>
      </c>
      <c r="C6" s="32" t="s">
        <v>223</v>
      </c>
      <c r="D6" s="6" t="str">
        <f>IF(AND(C6&gt;"",_xlfn.XLOOKUP(C6,'Master List'!$C:$C,'Master List'!E:E)=0),"NEEDS CASE WEIGHT","")</f>
        <v/>
      </c>
    </row>
    <row r="7" spans="1:4" x14ac:dyDescent="0.2">
      <c r="A7" s="30">
        <v>1.5</v>
      </c>
      <c r="B7" s="31" t="s">
        <v>13</v>
      </c>
      <c r="C7" s="32" t="s">
        <v>243</v>
      </c>
      <c r="D7" s="6" t="str">
        <f>IF(AND(C7&gt;"",_xlfn.XLOOKUP(C7,'Master List'!$C:$C,'Master List'!E:E)=0),"NEEDS CASE WEIGHT","")</f>
        <v/>
      </c>
    </row>
    <row r="8" spans="1:4" x14ac:dyDescent="0.2">
      <c r="A8" s="30">
        <v>0.5</v>
      </c>
      <c r="B8" s="31" t="s">
        <v>13</v>
      </c>
      <c r="C8" s="32" t="s">
        <v>271</v>
      </c>
      <c r="D8" s="6" t="str">
        <f>IF(AND(C8&gt;"",_xlfn.XLOOKUP(C8,'Master List'!$C:$C,'Master List'!E:E)=0),"NEEDS CASE WEIGHT","")</f>
        <v/>
      </c>
    </row>
    <row r="9" spans="1:4" x14ac:dyDescent="0.2">
      <c r="A9" s="30">
        <v>5</v>
      </c>
      <c r="B9" s="31" t="s">
        <v>20</v>
      </c>
      <c r="C9" s="32" t="s">
        <v>1102</v>
      </c>
      <c r="D9" s="6" t="str">
        <f>IF(AND(C9&gt;"",_xlfn.XLOOKUP(C9,'Master List'!$C:$C,'Master List'!E:E)=0),"NEEDS CASE WEIGHT","")</f>
        <v/>
      </c>
    </row>
    <row r="10" spans="1:4" x14ac:dyDescent="0.2">
      <c r="A10" s="30">
        <v>65</v>
      </c>
      <c r="B10" s="31" t="s">
        <v>20</v>
      </c>
      <c r="C10" s="32" t="s">
        <v>468</v>
      </c>
      <c r="D10" s="6" t="str">
        <f>IF(AND(C10&gt;"",_xlfn.XLOOKUP(C10,'Master List'!$C:$C,'Master List'!E:E)=0),"NEEDS CASE WEIGHT","")</f>
        <v/>
      </c>
    </row>
    <row r="11" spans="1:4" x14ac:dyDescent="0.2">
      <c r="A11" s="30">
        <v>1</v>
      </c>
      <c r="B11" s="31" t="s">
        <v>13</v>
      </c>
      <c r="C11" s="32" t="s">
        <v>581</v>
      </c>
      <c r="D11" s="6" t="str">
        <f>IF(AND(C11&gt;"",_xlfn.XLOOKUP(C11,'Master List'!$C:$C,'Master List'!E:E)=0),"NEEDS CASE WEIGHT","")</f>
        <v/>
      </c>
    </row>
    <row r="12" spans="1:4" x14ac:dyDescent="0.2">
      <c r="A12" s="30">
        <v>0.5</v>
      </c>
      <c r="B12" s="31" t="s">
        <v>13</v>
      </c>
      <c r="C12" s="32" t="s">
        <v>631</v>
      </c>
      <c r="D12" s="6" t="str">
        <f>IF(AND(C12&gt;"",_xlfn.XLOOKUP(C12,'Master List'!$C:$C,'Master List'!E:E)=0),"NEEDS CASE WEIGHT","")</f>
        <v/>
      </c>
    </row>
    <row r="13" spans="1:4" x14ac:dyDescent="0.2">
      <c r="A13" s="30">
        <v>1</v>
      </c>
      <c r="B13" s="31" t="s">
        <v>26</v>
      </c>
      <c r="C13" s="32" t="s">
        <v>779</v>
      </c>
      <c r="D13" s="6" t="str">
        <f>IF(AND(C13&gt;"",_xlfn.XLOOKUP(C13,'Master List'!$C:$C,'Master List'!E:E)=0),"NEEDS CASE WEIGHT","")</f>
        <v/>
      </c>
    </row>
    <row r="14" spans="1:4" x14ac:dyDescent="0.2">
      <c r="A14" s="30">
        <v>15</v>
      </c>
      <c r="B14" s="31" t="s">
        <v>41</v>
      </c>
      <c r="C14" s="32" t="s">
        <v>834</v>
      </c>
      <c r="D14" s="6" t="str">
        <f>IF(AND(C14&gt;"",_xlfn.XLOOKUP(C14,'Master List'!$C:$C,'Master List'!E:E)=0),"NEEDS CASE WEIGHT","")</f>
        <v/>
      </c>
    </row>
    <row r="15" spans="1:4" x14ac:dyDescent="0.2">
      <c r="A15" s="30">
        <v>2</v>
      </c>
      <c r="B15" s="31" t="s">
        <v>13</v>
      </c>
      <c r="C15" s="32" t="s">
        <v>945</v>
      </c>
      <c r="D15" s="6" t="str">
        <f>IF(AND(C15&gt;"",_xlfn.XLOOKUP(C15,'Master List'!$C:$C,'Master List'!E:E)=0),"NEEDS CASE WEIGHT","")</f>
        <v/>
      </c>
    </row>
    <row r="16" spans="1:4" x14ac:dyDescent="0.2">
      <c r="A16" s="30">
        <v>300</v>
      </c>
      <c r="B16" s="31" t="s">
        <v>20</v>
      </c>
      <c r="C16" s="32" t="s">
        <v>988</v>
      </c>
      <c r="D16" s="6" t="str">
        <f>IF(AND(C16&gt;"",_xlfn.XLOOKUP(C16,'Master List'!$C:$C,'Master List'!E:E)=0),"NEEDS CASE WEIGHT","")</f>
        <v/>
      </c>
    </row>
    <row r="17" spans="1:4" x14ac:dyDescent="0.2">
      <c r="A17" s="30">
        <v>1</v>
      </c>
      <c r="B17" s="31" t="s">
        <v>13</v>
      </c>
      <c r="C17" s="32" t="s">
        <v>1003</v>
      </c>
      <c r="D17" s="6" t="str">
        <f>IF(AND(C17&gt;"",_xlfn.XLOOKUP(C17,'Master List'!$C:$C,'Master List'!E:E)=0),"NEEDS CASE WEIGHT","")</f>
        <v/>
      </c>
    </row>
    <row r="18" spans="1:4" x14ac:dyDescent="0.2">
      <c r="A18" s="30"/>
      <c r="B18" s="31"/>
      <c r="C18" s="32"/>
      <c r="D18" s="6" t="str">
        <f>IF(AND(C18&gt;"",_xlfn.XLOOKUP(C18,'Master List'!$C:$C,'Master List'!E:E)=0),"NEEDS CASE WEIGHT","")</f>
        <v/>
      </c>
    </row>
    <row r="19" spans="1:4" x14ac:dyDescent="0.2">
      <c r="A19" s="30"/>
      <c r="B19" s="31"/>
      <c r="C19" s="32"/>
      <c r="D19" s="6" t="str">
        <f>IF(AND(C19&gt;"",_xlfn.XLOOKUP(C19,'Master List'!$C:$C,'Master List'!E:E)=0),"NEEDS CASE WEIGHT","")</f>
        <v/>
      </c>
    </row>
    <row r="20" spans="1:4" x14ac:dyDescent="0.2">
      <c r="A20" s="30"/>
      <c r="B20" s="31"/>
      <c r="C20" s="32"/>
      <c r="D20" s="6" t="str">
        <f>IF(AND(C20&gt;"",_xlfn.XLOOKUP(C20,'Master List'!$C:$C,'Master List'!E:E)=0),"NEEDS CASE WEIGHT","")</f>
        <v/>
      </c>
    </row>
    <row r="21" spans="1:4" x14ac:dyDescent="0.2">
      <c r="A21" s="30"/>
      <c r="B21" s="31"/>
      <c r="C21" s="32"/>
      <c r="D21" s="6" t="str">
        <f>IF(AND(C21&gt;"",_xlfn.XLOOKUP(C21,'Master List'!$C:$C,'Master List'!E:E)=0),"NEEDS CASE WEIGHT","")</f>
        <v/>
      </c>
    </row>
    <row r="22" spans="1:4" x14ac:dyDescent="0.2">
      <c r="A22" s="30"/>
      <c r="B22" s="31"/>
      <c r="C22" s="32"/>
      <c r="D22" s="6" t="str">
        <f>IF(AND(C22&gt;"",_xlfn.XLOOKUP(C22,'Master List'!$C:$C,'Master List'!E:E)=0),"NEEDS CASE WEIGHT","")</f>
        <v/>
      </c>
    </row>
    <row r="23" spans="1:4" x14ac:dyDescent="0.2">
      <c r="A23" s="30"/>
      <c r="B23" s="31"/>
      <c r="C23" s="32"/>
      <c r="D23" s="6" t="str">
        <f>IF(AND(C23&gt;"",_xlfn.XLOOKUP(C23,'Master List'!$C:$C,'Master List'!E:E)=0),"NEEDS CASE WEIGHT","")</f>
        <v/>
      </c>
    </row>
    <row r="24" spans="1:4" x14ac:dyDescent="0.2">
      <c r="A24" s="30"/>
      <c r="B24" s="31"/>
      <c r="C24" s="32"/>
      <c r="D24" s="6" t="str">
        <f>IF(AND(C24&gt;"",_xlfn.XLOOKUP(C24,'Master List'!$C:$C,'Master List'!E:E)=0),"NEEDS CASE WEIGHT","")</f>
        <v/>
      </c>
    </row>
    <row r="25" spans="1:4" x14ac:dyDescent="0.2">
      <c r="A25" s="30"/>
      <c r="B25" s="31"/>
      <c r="C25" s="32"/>
      <c r="D25" s="6" t="str">
        <f>IF(AND(C25&gt;"",_xlfn.XLOOKUP(C25,'Master List'!$C:$C,'Master List'!E:E)=0),"NEEDS CASE WEIGHT","")</f>
        <v/>
      </c>
    </row>
    <row r="26" spans="1:4" x14ac:dyDescent="0.2">
      <c r="A26" s="30"/>
      <c r="B26" s="31"/>
      <c r="C26" s="32"/>
      <c r="D26" s="6" t="str">
        <f>IF(AND(C26&gt;"",_xlfn.XLOOKUP(C26,'Master List'!$C:$C,'Master List'!E:E)=0),"NEEDS CASE WEIGHT","")</f>
        <v/>
      </c>
    </row>
    <row r="27" spans="1:4" x14ac:dyDescent="0.2">
      <c r="A27" s="30"/>
      <c r="B27" s="31"/>
      <c r="C27" s="32"/>
      <c r="D27" s="6" t="str">
        <f>IF(AND(C27&gt;"",_xlfn.XLOOKUP(C27,'Master List'!$C:$C,'Master List'!E:E)=0),"NEEDS CASE WEIGHT","")</f>
        <v/>
      </c>
    </row>
    <row r="28" spans="1:4" x14ac:dyDescent="0.2">
      <c r="A28" s="30"/>
      <c r="B28" s="31"/>
      <c r="C28" s="32"/>
      <c r="D28" s="6" t="str">
        <f>IF(AND(C28&gt;"",_xlfn.XLOOKUP(C28,'Master List'!$C:$C,'Master List'!E:E)=0),"NEEDS CASE WEIGHT","")</f>
        <v/>
      </c>
    </row>
    <row r="29" spans="1:4" x14ac:dyDescent="0.2">
      <c r="A29" s="30"/>
      <c r="B29" s="31"/>
      <c r="C29" s="32"/>
      <c r="D29" s="6" t="str">
        <f>IF(AND(C29&gt;"",_xlfn.XLOOKUP(C29,'Master List'!$C:$C,'Master List'!E:E)=0),"NEEDS CASE WEIGHT","")</f>
        <v/>
      </c>
    </row>
    <row r="30" spans="1:4" x14ac:dyDescent="0.2">
      <c r="A30" s="30"/>
      <c r="B30" s="31"/>
      <c r="C30" s="32"/>
      <c r="D30" s="6" t="str">
        <f>IF(AND(C30&gt;"",_xlfn.XLOOKUP(C30,'Master List'!$C:$C,'Master List'!E:E)=0),"NEEDS CASE WEIGHT","")</f>
        <v/>
      </c>
    </row>
    <row r="31" spans="1:4" x14ac:dyDescent="0.2">
      <c r="A31" s="30"/>
      <c r="B31" s="31"/>
      <c r="C31" s="32"/>
      <c r="D31" s="6" t="str">
        <f>IF(AND(C31&gt;"",_xlfn.XLOOKUP(C31,'Master List'!$C:$C,'Master List'!E:E)=0),"NEEDS CASE WEIGHT","")</f>
        <v/>
      </c>
    </row>
    <row r="32" spans="1:4" x14ac:dyDescent="0.2">
      <c r="A32" s="30"/>
      <c r="B32" s="31"/>
      <c r="C32" s="32"/>
      <c r="D32" s="6" t="str">
        <f>IF(AND(C32&gt;"",_xlfn.XLOOKUP(C32,'Master List'!$C:$C,'Master List'!E:E)=0),"NEEDS CASE WEIGHT","")</f>
        <v/>
      </c>
    </row>
    <row r="33" spans="1:4" x14ac:dyDescent="0.2">
      <c r="A33" s="30"/>
      <c r="B33" s="31"/>
      <c r="C33" s="32"/>
      <c r="D33" s="6" t="str">
        <f>IF(AND(C33&gt;"",_xlfn.XLOOKUP(C33,'Master List'!$C:$C,'Master List'!E:E)=0),"NEEDS CASE WEIGHT","")</f>
        <v/>
      </c>
    </row>
    <row r="34" spans="1:4" x14ac:dyDescent="0.2">
      <c r="A34" s="30"/>
      <c r="B34" s="31"/>
      <c r="C34" s="32"/>
      <c r="D34" s="6" t="str">
        <f>IF(AND(C34&gt;"",_xlfn.XLOOKUP(C34,'Master List'!$C:$C,'Master List'!E:E)=0),"NEEDS CASE WEIGHT","")</f>
        <v/>
      </c>
    </row>
    <row r="35" spans="1:4" x14ac:dyDescent="0.2">
      <c r="A35" s="30"/>
      <c r="B35" s="31"/>
      <c r="C35" s="32"/>
      <c r="D35" s="6" t="str">
        <f>IF(AND(C35&gt;"",_xlfn.XLOOKUP(C35,'Master List'!$C:$C,'Master List'!E:E)=0),"NEEDS CASE WEIGHT","")</f>
        <v/>
      </c>
    </row>
    <row r="36" spans="1:4" x14ac:dyDescent="0.2">
      <c r="A36" s="30"/>
      <c r="B36" s="31"/>
      <c r="C36" s="32"/>
      <c r="D36" s="6" t="str">
        <f>IF(AND(C36&gt;"",_xlfn.XLOOKUP(C36,'Master List'!$C:$C,'Master List'!E:E)=0),"NEEDS CASE WEIGHT","")</f>
        <v/>
      </c>
    </row>
    <row r="37" spans="1:4" x14ac:dyDescent="0.2">
      <c r="A37" s="30"/>
      <c r="B37" s="31"/>
      <c r="C37" s="32"/>
      <c r="D37" s="6" t="str">
        <f>IF(AND(C37&gt;"",_xlfn.XLOOKUP(C37,'Master List'!$C:$C,'Master List'!E:E)=0),"NEEDS CASE WEIGHT","")</f>
        <v/>
      </c>
    </row>
    <row r="38" spans="1:4" x14ac:dyDescent="0.2">
      <c r="A38" s="30"/>
      <c r="B38" s="31"/>
      <c r="C38" s="32"/>
      <c r="D38" s="6" t="str">
        <f>IF(AND(C38&gt;"",_xlfn.XLOOKUP(C38,'Master List'!$C:$C,'Master List'!E:E)=0),"NEEDS CASE WEIGHT","")</f>
        <v/>
      </c>
    </row>
    <row r="39" spans="1:4" x14ac:dyDescent="0.2">
      <c r="A39" s="30"/>
      <c r="B39" s="31"/>
      <c r="C39" s="32"/>
      <c r="D39" s="6" t="str">
        <f>IF(AND(C39&gt;"",_xlfn.XLOOKUP(C39,'Master List'!$C:$C,'Master List'!E:E)=0),"NEEDS CASE WEIGHT","")</f>
        <v/>
      </c>
    </row>
    <row r="40" spans="1:4" x14ac:dyDescent="0.2">
      <c r="A40" s="30"/>
      <c r="B40" s="31"/>
      <c r="C40" s="32"/>
      <c r="D40" s="6" t="str">
        <f>IF(AND(C40&gt;"",_xlfn.XLOOKUP(C40,'Master List'!$C:$C,'Master List'!E:E)=0),"NEEDS CASE WEIGHT","")</f>
        <v/>
      </c>
    </row>
    <row r="41" spans="1:4" x14ac:dyDescent="0.2">
      <c r="A41" s="30"/>
      <c r="B41" s="31"/>
      <c r="C41" s="32"/>
      <c r="D41" s="6" t="str">
        <f>IF(AND(C41&gt;"",_xlfn.XLOOKUP(C41,'Master List'!$C:$C,'Master List'!E:E)=0),"NEEDS CASE WEIGHT","")</f>
        <v/>
      </c>
    </row>
    <row r="42" spans="1:4" x14ac:dyDescent="0.2">
      <c r="A42" s="30"/>
      <c r="B42" s="31"/>
      <c r="C42" s="32"/>
      <c r="D42" s="6" t="str">
        <f>IF(AND(C42&gt;"",_xlfn.XLOOKUP(C42,'Master List'!$C:$C,'Master List'!E:E)=0),"NEEDS CASE WEIGHT","")</f>
        <v/>
      </c>
    </row>
    <row r="43" spans="1:4" x14ac:dyDescent="0.2">
      <c r="A43" s="30"/>
      <c r="B43" s="31"/>
      <c r="C43" s="32"/>
      <c r="D43" s="6" t="str">
        <f>IF(AND(C43&gt;"",_xlfn.XLOOKUP(C43,'Master List'!$C:$C,'Master List'!E:E)=0),"NEEDS CASE WEIGHT","")</f>
        <v/>
      </c>
    </row>
    <row r="44" spans="1:4" x14ac:dyDescent="0.2">
      <c r="A44" s="30"/>
      <c r="B44" s="31"/>
      <c r="C44" s="32"/>
      <c r="D44" s="6" t="str">
        <f>IF(AND(C44&gt;"",_xlfn.XLOOKUP(C44,'Master List'!$C:$C,'Master List'!E:E)=0),"NEEDS CASE WEIGHT","")</f>
        <v/>
      </c>
    </row>
    <row r="45" spans="1:4" x14ac:dyDescent="0.2">
      <c r="A45" s="30"/>
      <c r="B45" s="31"/>
      <c r="C45" s="32"/>
      <c r="D45" s="6" t="str">
        <f>IF(AND(C45&gt;"",_xlfn.XLOOKUP(C45,'Master List'!$C:$C,'Master List'!E:E)=0),"NEEDS CASE WEIGHT","")</f>
        <v/>
      </c>
    </row>
    <row r="46" spans="1:4" x14ac:dyDescent="0.2">
      <c r="A46" s="30"/>
      <c r="B46" s="31"/>
      <c r="C46" s="32"/>
      <c r="D46" s="6" t="str">
        <f>IF(AND(C46&gt;"",_xlfn.XLOOKUP(C46,'Master List'!$C:$C,'Master List'!E:E)=0),"NEEDS CASE WEIGHT","")</f>
        <v/>
      </c>
    </row>
    <row r="47" spans="1:4" x14ac:dyDescent="0.2">
      <c r="A47" s="30"/>
      <c r="B47" s="31"/>
      <c r="C47" s="32"/>
      <c r="D47" s="6" t="str">
        <f>IF(AND(C47&gt;"",_xlfn.XLOOKUP(C47,'Master List'!$C:$C,'Master List'!E:E)=0),"NEEDS CASE WEIGHT","")</f>
        <v/>
      </c>
    </row>
    <row r="48" spans="1:4" x14ac:dyDescent="0.2">
      <c r="A48" s="30"/>
      <c r="B48" s="31"/>
      <c r="C48" s="32"/>
      <c r="D48" s="6" t="str">
        <f>IF(AND(C48&gt;"",_xlfn.XLOOKUP(C48,'Master List'!$C:$C,'Master List'!E:E)=0),"NEEDS CASE WEIGHT","")</f>
        <v/>
      </c>
    </row>
    <row r="49" spans="1:4" x14ac:dyDescent="0.2">
      <c r="A49" s="30"/>
      <c r="B49" s="31"/>
      <c r="C49" s="32"/>
      <c r="D49" s="6" t="str">
        <f>IF(AND(C49&gt;"",_xlfn.XLOOKUP(C49,'Master List'!$C:$C,'Master List'!E:E)=0),"NEEDS CASE WEIGHT","")</f>
        <v/>
      </c>
    </row>
    <row r="50" spans="1:4" x14ac:dyDescent="0.2">
      <c r="A50" s="30"/>
      <c r="B50" s="31"/>
      <c r="C50" s="32"/>
      <c r="D50" s="6" t="str">
        <f>IF(AND(C50&gt;"",_xlfn.XLOOKUP(C50,'Master List'!$C:$C,'Master List'!E:E)=0),"NEEDS CASE WEIGHT","")</f>
        <v/>
      </c>
    </row>
    <row r="51" spans="1:4" x14ac:dyDescent="0.2">
      <c r="A51" s="30"/>
      <c r="B51" s="31"/>
      <c r="C51" s="32"/>
      <c r="D51" s="6" t="str">
        <f>IF(AND(C51&gt;"",_xlfn.XLOOKUP(C51,'Master List'!$C:$C,'Master List'!E:E)=0),"NEEDS CASE WEIGHT","")</f>
        <v/>
      </c>
    </row>
    <row r="52" spans="1:4" x14ac:dyDescent="0.2">
      <c r="A52" s="30"/>
      <c r="B52" s="31"/>
      <c r="C52" s="32"/>
      <c r="D52" s="6" t="str">
        <f>IF(AND(C52&gt;"",_xlfn.XLOOKUP(C52,'Master List'!$C:$C,'Master List'!E:E)=0),"NEEDS CASE WEIGHT","")</f>
        <v/>
      </c>
    </row>
    <row r="53" spans="1:4" x14ac:dyDescent="0.2">
      <c r="A53" s="30"/>
      <c r="B53" s="31"/>
      <c r="C53" s="32"/>
      <c r="D53" s="6" t="str">
        <f>IF(AND(C53&gt;"",_xlfn.XLOOKUP(C53,'Master List'!$C:$C,'Master List'!E:E)=0),"NEEDS CASE WEIGHT","")</f>
        <v/>
      </c>
    </row>
    <row r="54" spans="1:4" x14ac:dyDescent="0.2">
      <c r="A54" s="30"/>
      <c r="B54" s="31"/>
      <c r="C54" s="32"/>
      <c r="D54" s="6" t="str">
        <f>IF(AND(C54&gt;"",_xlfn.XLOOKUP(C54,'Master List'!$C:$C,'Master List'!E:E)=0),"NEEDS CASE WEIGHT","")</f>
        <v/>
      </c>
    </row>
    <row r="55" spans="1:4" x14ac:dyDescent="0.2">
      <c r="A55" s="30"/>
      <c r="B55" s="31"/>
      <c r="C55" s="32"/>
      <c r="D55" s="6" t="str">
        <f>IF(AND(C55&gt;"",_xlfn.XLOOKUP(C55,'Master List'!$C:$C,'Master List'!E:E)=0),"NEEDS CASE WEIGHT","")</f>
        <v/>
      </c>
    </row>
    <row r="56" spans="1:4" x14ac:dyDescent="0.2">
      <c r="A56" s="30"/>
      <c r="B56" s="31"/>
      <c r="C56" s="32"/>
      <c r="D56" s="6" t="str">
        <f>IF(AND(C56&gt;"",_xlfn.XLOOKUP(C56,'Master List'!$C:$C,'Master List'!E:E)=0),"NEEDS CASE WEIGHT","")</f>
        <v/>
      </c>
    </row>
    <row r="57" spans="1:4" x14ac:dyDescent="0.2">
      <c r="A57" s="30"/>
      <c r="B57" s="31"/>
      <c r="C57" s="32"/>
      <c r="D57" s="6" t="str">
        <f>IF(AND(C57&gt;"",_xlfn.XLOOKUP(C57,'Master List'!$C:$C,'Master List'!E:E)=0),"NEEDS CASE WEIGHT","")</f>
        <v/>
      </c>
    </row>
    <row r="58" spans="1:4" x14ac:dyDescent="0.2">
      <c r="A58" s="30"/>
      <c r="B58" s="31"/>
      <c r="C58" s="32"/>
      <c r="D58" s="6" t="str">
        <f>IF(AND(C58&gt;"",_xlfn.XLOOKUP(C58,'Master List'!$C:$C,'Master List'!E:E)=0),"NEEDS CASE WEIGHT","")</f>
        <v/>
      </c>
    </row>
    <row r="59" spans="1:4" x14ac:dyDescent="0.2">
      <c r="A59" s="30"/>
      <c r="B59" s="31"/>
      <c r="C59" s="32"/>
      <c r="D59" s="6" t="str">
        <f>IF(AND(C59&gt;"",_xlfn.XLOOKUP(C59,'Master List'!$C:$C,'Master List'!E:E)=0),"NEEDS CASE WEIGHT","")</f>
        <v/>
      </c>
    </row>
    <row r="60" spans="1:4" x14ac:dyDescent="0.2">
      <c r="A60" s="30"/>
      <c r="B60" s="31"/>
      <c r="C60" s="32"/>
      <c r="D60" s="6" t="str">
        <f>IF(AND(C60&gt;"",_xlfn.XLOOKUP(C60,'Master List'!$C:$C,'Master List'!E:E)=0),"NEEDS CASE WEIGHT","")</f>
        <v/>
      </c>
    </row>
    <row r="61" spans="1:4" x14ac:dyDescent="0.2">
      <c r="A61" s="30"/>
      <c r="B61" s="31"/>
      <c r="C61" s="32"/>
      <c r="D61" s="6" t="str">
        <f>IF(AND(C61&gt;"",_xlfn.XLOOKUP(C61,'Master List'!$C:$C,'Master List'!E:E)=0),"NEEDS CASE WEIGHT","")</f>
        <v/>
      </c>
    </row>
    <row r="62" spans="1:4" x14ac:dyDescent="0.2">
      <c r="A62" s="30"/>
      <c r="B62" s="31"/>
      <c r="C62" s="32"/>
      <c r="D62" s="6" t="str">
        <f>IF(AND(C62&gt;"",_xlfn.XLOOKUP(C62,'Master List'!$C:$C,'Master List'!E:E)=0),"NEEDS CASE WEIGHT","")</f>
        <v/>
      </c>
    </row>
    <row r="63" spans="1:4" x14ac:dyDescent="0.2">
      <c r="A63" s="30"/>
      <c r="B63" s="31"/>
      <c r="C63" s="32"/>
      <c r="D63" s="6" t="str">
        <f>IF(AND(C63&gt;"",_xlfn.XLOOKUP(C63,'Master List'!$C:$C,'Master List'!E:E)=0),"NEEDS CASE WEIGHT","")</f>
        <v/>
      </c>
    </row>
    <row r="64" spans="1:4" x14ac:dyDescent="0.2">
      <c r="A64" s="30"/>
      <c r="B64" s="31"/>
      <c r="C64" s="32"/>
      <c r="D64" s="6" t="str">
        <f>IF(AND(C64&gt;"",_xlfn.XLOOKUP(C64,'Master List'!$C:$C,'Master List'!E:E)=0),"NEEDS CASE WEIGHT","")</f>
        <v/>
      </c>
    </row>
    <row r="65" spans="1:4" x14ac:dyDescent="0.2">
      <c r="A65" s="30"/>
      <c r="B65" s="31"/>
      <c r="C65" s="32"/>
      <c r="D65" s="6" t="str">
        <f>IF(AND(C65&gt;"",_xlfn.XLOOKUP(C65,'Master List'!$C:$C,'Master List'!E:E)=0),"NEEDS CASE WEIGHT","")</f>
        <v/>
      </c>
    </row>
    <row r="66" spans="1:4" x14ac:dyDescent="0.2">
      <c r="A66" s="30"/>
      <c r="B66" s="31"/>
      <c r="C66" s="32"/>
      <c r="D66" s="6" t="str">
        <f>IF(AND(C66&gt;"",_xlfn.XLOOKUP(C66,'Master List'!$C:$C,'Master List'!E:E)=0),"NEEDS CASE WEIGHT","")</f>
        <v/>
      </c>
    </row>
    <row r="67" spans="1:4" x14ac:dyDescent="0.2">
      <c r="A67" s="30"/>
      <c r="B67" s="31"/>
      <c r="C67" s="32"/>
      <c r="D67" s="6" t="str">
        <f>IF(AND(C67&gt;"",_xlfn.XLOOKUP(C67,'Master List'!$C:$C,'Master List'!E:E)=0),"NEEDS CASE WEIGHT","")</f>
        <v/>
      </c>
    </row>
    <row r="68" spans="1:4" x14ac:dyDescent="0.2">
      <c r="A68" s="30"/>
      <c r="B68" s="31"/>
      <c r="C68" s="32"/>
      <c r="D68" s="6" t="str">
        <f>IF(AND(C68&gt;"",_xlfn.XLOOKUP(C68,'Master List'!$C:$C,'Master List'!E:E)=0),"NEEDS CASE WEIGHT","")</f>
        <v/>
      </c>
    </row>
    <row r="69" spans="1:4" x14ac:dyDescent="0.2">
      <c r="A69" s="30"/>
      <c r="B69" s="31"/>
      <c r="C69" s="32"/>
      <c r="D69" s="6" t="str">
        <f>IF(AND(C69&gt;"",_xlfn.XLOOKUP(C69,'Master List'!$C:$C,'Master List'!E:E)=0),"NEEDS CASE WEIGHT","")</f>
        <v/>
      </c>
    </row>
    <row r="70" spans="1:4" x14ac:dyDescent="0.2">
      <c r="A70" s="30"/>
      <c r="B70" s="31"/>
      <c r="C70" s="32"/>
      <c r="D70" s="6" t="str">
        <f>IF(AND(C70&gt;"",_xlfn.XLOOKUP(C70,'Master List'!$C:$C,'Master List'!E:E)=0),"NEEDS CASE WEIGHT","")</f>
        <v/>
      </c>
    </row>
    <row r="71" spans="1:4" x14ac:dyDescent="0.2">
      <c r="A71" s="30"/>
      <c r="B71" s="31"/>
      <c r="C71" s="32"/>
      <c r="D71" s="6" t="str">
        <f>IF(AND(C71&gt;"",_xlfn.XLOOKUP(C71,'Master List'!$C:$C,'Master List'!E:E)=0),"NEEDS CASE WEIGHT","")</f>
        <v/>
      </c>
    </row>
    <row r="72" spans="1:4" x14ac:dyDescent="0.2">
      <c r="A72" s="30"/>
      <c r="B72" s="31"/>
      <c r="C72" s="32"/>
      <c r="D72" s="6" t="str">
        <f>IF(AND(C72&gt;"",_xlfn.XLOOKUP(C72,'Master List'!$C:$C,'Master List'!E:E)=0),"NEEDS CASE WEIGHT","")</f>
        <v/>
      </c>
    </row>
    <row r="73" spans="1:4" x14ac:dyDescent="0.2">
      <c r="A73" s="30"/>
      <c r="B73" s="31"/>
      <c r="C73" s="32"/>
      <c r="D73" s="6" t="str">
        <f>IF(AND(C73&gt;"",_xlfn.XLOOKUP(C73,'Master List'!$C:$C,'Master List'!E:E)=0),"NEEDS CASE WEIGHT","")</f>
        <v/>
      </c>
    </row>
    <row r="74" spans="1:4" x14ac:dyDescent="0.2">
      <c r="A74" s="30"/>
      <c r="B74" s="31"/>
      <c r="C74" s="32"/>
      <c r="D74" s="6" t="str">
        <f>IF(AND(C74&gt;"",_xlfn.XLOOKUP(C74,'Master List'!$C:$C,'Master List'!E:E)=0),"NEEDS CASE WEIGHT","")</f>
        <v/>
      </c>
    </row>
    <row r="75" spans="1:4" x14ac:dyDescent="0.2">
      <c r="A75" s="30"/>
      <c r="B75" s="31"/>
      <c r="C75" s="32"/>
      <c r="D75" s="6" t="str">
        <f>IF(AND(C75&gt;"",_xlfn.XLOOKUP(C75,'Master List'!$C:$C,'Master List'!E:E)=0),"NEEDS CASE WEIGHT","")</f>
        <v/>
      </c>
    </row>
    <row r="76" spans="1:4" x14ac:dyDescent="0.2">
      <c r="A76" s="30"/>
      <c r="B76" s="31"/>
      <c r="C76" s="32"/>
      <c r="D76" s="6" t="str">
        <f>IF(AND(C76&gt;"",_xlfn.XLOOKUP(C76,'Master List'!$C:$C,'Master List'!E:E)=0),"NEEDS CASE WEIGHT","")</f>
        <v/>
      </c>
    </row>
    <row r="77" spans="1:4" x14ac:dyDescent="0.2">
      <c r="A77" s="30"/>
      <c r="B77" s="31"/>
      <c r="C77" s="32"/>
      <c r="D77" s="6" t="str">
        <f>IF(AND(C77&gt;"",_xlfn.XLOOKUP(C77,'Master List'!$C:$C,'Master List'!E:E)=0),"NEEDS CASE WEIGHT","")</f>
        <v/>
      </c>
    </row>
    <row r="78" spans="1:4" x14ac:dyDescent="0.2">
      <c r="A78" s="30"/>
      <c r="B78" s="31"/>
      <c r="C78" s="32"/>
      <c r="D78" s="6" t="str">
        <f>IF(AND(C78&gt;"",_xlfn.XLOOKUP(C78,'Master List'!$C:$C,'Master List'!E:E)=0),"NEEDS CASE WEIGHT","")</f>
        <v/>
      </c>
    </row>
    <row r="79" spans="1:4" x14ac:dyDescent="0.2">
      <c r="A79" s="30"/>
      <c r="B79" s="31"/>
      <c r="C79" s="32"/>
      <c r="D79" s="6" t="str">
        <f>IF(AND(C79&gt;"",_xlfn.XLOOKUP(C79,'Master List'!$C:$C,'Master List'!E:E)=0),"NEEDS CASE WEIGHT","")</f>
        <v/>
      </c>
    </row>
    <row r="80" spans="1:4" x14ac:dyDescent="0.2">
      <c r="A80" s="30"/>
      <c r="B80" s="31"/>
      <c r="C80" s="32"/>
      <c r="D80" s="6" t="str">
        <f>IF(AND(C80&gt;"",_xlfn.XLOOKUP(C80,'Master List'!$C:$C,'Master List'!E:E)=0),"NEEDS CASE WEIGHT","")</f>
        <v/>
      </c>
    </row>
    <row r="81" spans="1:4" x14ac:dyDescent="0.2">
      <c r="A81" s="30"/>
      <c r="B81" s="31"/>
      <c r="C81" s="32"/>
      <c r="D81" s="6" t="str">
        <f>IF(AND(C81&gt;"",_xlfn.XLOOKUP(C81,'Master List'!$C:$C,'Master List'!E:E)=0),"NEEDS CASE WEIGHT","")</f>
        <v/>
      </c>
    </row>
    <row r="82" spans="1:4" x14ac:dyDescent="0.2">
      <c r="A82" s="30"/>
      <c r="B82" s="31"/>
      <c r="C82" s="32"/>
      <c r="D82" s="6" t="str">
        <f>IF(AND(C82&gt;"",_xlfn.XLOOKUP(C82,'Master List'!$C:$C,'Master List'!E:E)=0),"NEEDS CASE WEIGHT","")</f>
        <v/>
      </c>
    </row>
    <row r="83" spans="1:4" x14ac:dyDescent="0.2">
      <c r="A83" s="30"/>
      <c r="B83" s="31"/>
      <c r="C83" s="32"/>
      <c r="D83" s="6" t="str">
        <f>IF(AND(C83&gt;"",_xlfn.XLOOKUP(C83,'Master List'!$C:$C,'Master List'!E:E)=0),"NEEDS CASE WEIGHT","")</f>
        <v/>
      </c>
    </row>
    <row r="84" spans="1:4" x14ac:dyDescent="0.2">
      <c r="A84" s="30"/>
      <c r="B84" s="31"/>
      <c r="C84" s="32"/>
      <c r="D84" s="6" t="str">
        <f>IF(AND(C84&gt;"",_xlfn.XLOOKUP(C84,'Master List'!$C:$C,'Master List'!E:E)=0),"NEEDS CASE WEIGHT","")</f>
        <v/>
      </c>
    </row>
    <row r="85" spans="1:4" x14ac:dyDescent="0.2">
      <c r="A85" s="30"/>
      <c r="B85" s="31"/>
      <c r="C85" s="32"/>
      <c r="D85" s="6" t="str">
        <f>IF(AND(C85&gt;"",_xlfn.XLOOKUP(C85,'Master List'!$C:$C,'Master List'!E:E)=0),"NEEDS CASE WEIGHT","")</f>
        <v/>
      </c>
    </row>
    <row r="86" spans="1:4" x14ac:dyDescent="0.2">
      <c r="A86" s="30"/>
      <c r="B86" s="31"/>
      <c r="C86" s="32"/>
      <c r="D86" s="6" t="str">
        <f>IF(AND(C86&gt;"",_xlfn.XLOOKUP(C86,'Master List'!$C:$C,'Master List'!E:E)=0),"NEEDS CASE WEIGHT","")</f>
        <v/>
      </c>
    </row>
    <row r="87" spans="1:4" x14ac:dyDescent="0.2">
      <c r="A87" s="30"/>
      <c r="B87" s="31"/>
      <c r="C87" s="32"/>
      <c r="D87" s="6" t="str">
        <f>IF(AND(C87&gt;"",_xlfn.XLOOKUP(C87,'Master List'!$C:$C,'Master List'!E:E)=0),"NEEDS CASE WEIGHT","")</f>
        <v/>
      </c>
    </row>
    <row r="88" spans="1:4" x14ac:dyDescent="0.2">
      <c r="A88" s="30"/>
      <c r="B88" s="31"/>
      <c r="C88" s="32"/>
      <c r="D88" s="6" t="str">
        <f>IF(AND(C88&gt;"",_xlfn.XLOOKUP(C88,'Master List'!$C:$C,'Master List'!E:E)=0),"NEEDS CASE WEIGHT","")</f>
        <v/>
      </c>
    </row>
    <row r="89" spans="1:4" x14ac:dyDescent="0.2">
      <c r="A89" s="30"/>
      <c r="B89" s="31"/>
      <c r="C89" s="32"/>
      <c r="D89" s="6" t="str">
        <f>IF(AND(C89&gt;"",_xlfn.XLOOKUP(C89,'Master List'!$C:$C,'Master List'!E:E)=0),"NEEDS CASE WEIGHT","")</f>
        <v/>
      </c>
    </row>
    <row r="90" spans="1:4" x14ac:dyDescent="0.2">
      <c r="A90" s="30"/>
      <c r="B90" s="31"/>
      <c r="C90" s="32"/>
      <c r="D90" s="6" t="str">
        <f>IF(AND(C90&gt;"",_xlfn.XLOOKUP(C90,'Master List'!$C:$C,'Master List'!E:E)=0),"NEEDS CASE WEIGHT","")</f>
        <v/>
      </c>
    </row>
    <row r="91" spans="1:4" x14ac:dyDescent="0.2">
      <c r="A91" s="30"/>
      <c r="B91" s="31"/>
      <c r="C91" s="32"/>
      <c r="D91" s="6" t="str">
        <f>IF(AND(C91&gt;"",_xlfn.XLOOKUP(C91,'Master List'!$C:$C,'Master List'!E:E)=0),"NEEDS CASE WEIGHT","")</f>
        <v/>
      </c>
    </row>
    <row r="92" spans="1:4" x14ac:dyDescent="0.2">
      <c r="A92" s="30"/>
      <c r="B92" s="31"/>
      <c r="C92" s="32"/>
      <c r="D92" s="6" t="str">
        <f>IF(AND(C92&gt;"",_xlfn.XLOOKUP(C92,'Master List'!$C:$C,'Master List'!E:E)=0),"NEEDS CASE WEIGHT","")</f>
        <v/>
      </c>
    </row>
    <row r="93" spans="1:4" x14ac:dyDescent="0.2">
      <c r="A93" s="30"/>
      <c r="B93" s="31"/>
      <c r="C93" s="32"/>
      <c r="D93" s="6" t="str">
        <f>IF(AND(C93&gt;"",_xlfn.XLOOKUP(C93,'Master List'!$C:$C,'Master List'!E:E)=0),"NEEDS CASE WEIGHT","")</f>
        <v/>
      </c>
    </row>
    <row r="94" spans="1:4" x14ac:dyDescent="0.2">
      <c r="A94" s="30"/>
      <c r="B94" s="31"/>
      <c r="C94" s="32"/>
      <c r="D94" s="6" t="str">
        <f>IF(AND(C94&gt;"",_xlfn.XLOOKUP(C94,'Master List'!$C:$C,'Master List'!E:E)=0),"NEEDS CASE WEIGHT","")</f>
        <v/>
      </c>
    </row>
    <row r="95" spans="1:4" x14ac:dyDescent="0.2">
      <c r="A95" s="30"/>
      <c r="B95" s="31"/>
      <c r="C95" s="32"/>
      <c r="D95" s="6" t="str">
        <f>IF(AND(C95&gt;"",_xlfn.XLOOKUP(C95,'Master List'!$C:$C,'Master List'!E:E)=0),"NEEDS CASE WEIGHT","")</f>
        <v/>
      </c>
    </row>
    <row r="96" spans="1:4" x14ac:dyDescent="0.2">
      <c r="A96" s="30"/>
      <c r="B96" s="31"/>
      <c r="C96" s="32"/>
      <c r="D96" s="6" t="str">
        <f>IF(AND(C96&gt;"",_xlfn.XLOOKUP(C96,'Master List'!$C:$C,'Master List'!E:E)=0),"NEEDS CASE WEIGHT","")</f>
        <v/>
      </c>
    </row>
    <row r="97" spans="1:4" x14ac:dyDescent="0.2">
      <c r="A97" s="30"/>
      <c r="B97" s="31"/>
      <c r="C97" s="32"/>
      <c r="D97" s="6" t="str">
        <f>IF(AND(C97&gt;"",_xlfn.XLOOKUP(C97,'Master List'!$C:$C,'Master List'!E:E)=0),"NEEDS CASE WEIGHT","")</f>
        <v/>
      </c>
    </row>
    <row r="98" spans="1:4" x14ac:dyDescent="0.2">
      <c r="A98" s="30"/>
      <c r="B98" s="31"/>
      <c r="C98" s="32"/>
      <c r="D98" s="6" t="str">
        <f>IF(AND(C98&gt;"",_xlfn.XLOOKUP(C98,'Master List'!$C:$C,'Master List'!E:E)=0),"NEEDS CASE WEIGHT","")</f>
        <v/>
      </c>
    </row>
    <row r="99" spans="1:4" x14ac:dyDescent="0.2">
      <c r="A99" s="30"/>
      <c r="B99" s="31"/>
      <c r="C99" s="32"/>
      <c r="D99" s="6" t="str">
        <f>IF(AND(C99&gt;"",_xlfn.XLOOKUP(C99,'Master List'!$C:$C,'Master List'!E:E)=0),"NEEDS CASE WEIGHT","")</f>
        <v/>
      </c>
    </row>
    <row r="100" spans="1:4" x14ac:dyDescent="0.2">
      <c r="A100" s="30"/>
      <c r="B100" s="31"/>
      <c r="C100" s="32"/>
      <c r="D100" s="6" t="str">
        <f>IF(AND(C100&gt;"",_xlfn.XLOOKUP(C100,'Master List'!$C:$C,'Master List'!E:E)=0),"NEEDS CASE WEIGHT","")</f>
        <v/>
      </c>
    </row>
    <row r="101" spans="1:4" x14ac:dyDescent="0.2">
      <c r="A101" s="30"/>
      <c r="B101" s="31"/>
      <c r="C101" s="32"/>
      <c r="D101" s="6" t="str">
        <f>IF(AND(C101&gt;"",_xlfn.XLOOKUP(C101,'Master List'!$C:$C,'Master List'!E:E)=0),"NEEDS CASE WEIGHT","")</f>
        <v/>
      </c>
    </row>
    <row r="102" spans="1:4" x14ac:dyDescent="0.2">
      <c r="A102" s="30"/>
      <c r="B102" s="31"/>
      <c r="C102" s="32"/>
      <c r="D102" s="6" t="str">
        <f>IF(AND(C102&gt;"",_xlfn.XLOOKUP(C102,'Master List'!$C:$C,'Master List'!E:E)=0),"NEEDS CASE WEIGHT","")</f>
        <v/>
      </c>
    </row>
    <row r="103" spans="1:4" x14ac:dyDescent="0.2">
      <c r="A103" s="30"/>
      <c r="B103" s="31"/>
      <c r="C103" s="32"/>
      <c r="D103" s="6" t="str">
        <f>IF(AND(C103&gt;"",_xlfn.XLOOKUP(C103,'Master List'!$C:$C,'Master List'!E:E)=0),"NEEDS CASE WEIGHT","")</f>
        <v/>
      </c>
    </row>
    <row r="104" spans="1:4" x14ac:dyDescent="0.2">
      <c r="A104" s="30"/>
      <c r="B104" s="31"/>
      <c r="C104" s="32"/>
      <c r="D104" s="6" t="str">
        <f>IF(AND(C104&gt;"",_xlfn.XLOOKUP(C104,'Master List'!$C:$C,'Master List'!E:E)=0),"NEEDS CASE WEIGHT","")</f>
        <v/>
      </c>
    </row>
    <row r="105" spans="1:4" x14ac:dyDescent="0.2">
      <c r="A105" s="30"/>
      <c r="B105" s="31"/>
      <c r="C105" s="32"/>
      <c r="D105" s="6" t="str">
        <f>IF(AND(C105&gt;"",_xlfn.XLOOKUP(C105,'Master List'!$C:$C,'Master List'!E:E)=0),"NEEDS CASE WEIGHT","")</f>
        <v/>
      </c>
    </row>
    <row r="106" spans="1:4" x14ac:dyDescent="0.2">
      <c r="A106" s="30"/>
      <c r="B106" s="31"/>
      <c r="C106" s="32"/>
      <c r="D106" s="6" t="str">
        <f>IF(AND(C106&gt;"",_xlfn.XLOOKUP(C106,'Master List'!$C:$C,'Master List'!E:E)=0),"NEEDS CASE WEIGHT","")</f>
        <v/>
      </c>
    </row>
    <row r="107" spans="1:4" x14ac:dyDescent="0.2">
      <c r="A107" s="30"/>
      <c r="B107" s="31"/>
      <c r="C107" s="32"/>
      <c r="D107" s="6" t="str">
        <f>IF(AND(C107&gt;"",_xlfn.XLOOKUP(C107,'Master List'!$C:$C,'Master List'!E:E)=0),"NEEDS CASE WEIGHT","")</f>
        <v/>
      </c>
    </row>
    <row r="108" spans="1:4" x14ac:dyDescent="0.2">
      <c r="A108" s="30"/>
      <c r="B108" s="31"/>
      <c r="C108" s="32"/>
      <c r="D108" s="6" t="str">
        <f>IF(AND(C108&gt;"",_xlfn.XLOOKUP(C108,'Master List'!$C:$C,'Master List'!E:E)=0),"NEEDS CASE WEIGHT","")</f>
        <v/>
      </c>
    </row>
    <row r="109" spans="1:4" x14ac:dyDescent="0.2">
      <c r="A109" s="30"/>
      <c r="B109" s="31"/>
      <c r="C109" s="32"/>
      <c r="D109" s="6" t="str">
        <f>IF(AND(C109&gt;"",_xlfn.XLOOKUP(C109,'Master List'!$C:$C,'Master List'!E:E)=0),"NEEDS CASE WEIGHT","")</f>
        <v/>
      </c>
    </row>
    <row r="110" spans="1:4" x14ac:dyDescent="0.2">
      <c r="A110" s="30"/>
      <c r="B110" s="31"/>
      <c r="C110" s="32"/>
      <c r="D110" s="6" t="str">
        <f>IF(AND(C110&gt;"",_xlfn.XLOOKUP(C110,'Master List'!$C:$C,'Master List'!E:E)=0),"NEEDS CASE WEIGHT","")</f>
        <v/>
      </c>
    </row>
    <row r="111" spans="1:4" x14ac:dyDescent="0.2">
      <c r="A111" s="30"/>
      <c r="B111" s="31"/>
      <c r="C111" s="32"/>
      <c r="D111" s="6" t="str">
        <f>IF(AND(C111&gt;"",_xlfn.XLOOKUP(C111,'Master List'!$C:$C,'Master List'!E:E)=0),"NEEDS CASE WEIGHT","")</f>
        <v/>
      </c>
    </row>
    <row r="112" spans="1:4" x14ac:dyDescent="0.2">
      <c r="A112" s="30"/>
      <c r="B112" s="31"/>
      <c r="C112" s="32"/>
      <c r="D112" s="6" t="str">
        <f>IF(AND(C112&gt;"",_xlfn.XLOOKUP(C112,'Master List'!$C:$C,'Master List'!E:E)=0),"NEEDS CASE WEIGHT","")</f>
        <v/>
      </c>
    </row>
    <row r="113" spans="1:4" x14ac:dyDescent="0.2">
      <c r="A113" s="30"/>
      <c r="B113" s="31"/>
      <c r="C113" s="32"/>
      <c r="D113" s="6" t="str">
        <f>IF(AND(C113&gt;"",_xlfn.XLOOKUP(C113,'Master List'!$C:$C,'Master List'!E:E)=0),"NEEDS CASE WEIGHT","")</f>
        <v/>
      </c>
    </row>
    <row r="114" spans="1:4" x14ac:dyDescent="0.2">
      <c r="A114" s="30"/>
      <c r="B114" s="31"/>
      <c r="C114" s="32"/>
      <c r="D114" s="6" t="str">
        <f>IF(AND(C114&gt;"",_xlfn.XLOOKUP(C114,'Master List'!$C:$C,'Master List'!E:E)=0),"NEEDS CASE WEIGHT","")</f>
        <v/>
      </c>
    </row>
    <row r="115" spans="1:4" x14ac:dyDescent="0.2">
      <c r="A115" s="30"/>
      <c r="B115" s="31"/>
      <c r="C115" s="32"/>
      <c r="D115" s="6" t="str">
        <f>IF(AND(C115&gt;"",_xlfn.XLOOKUP(C115,'Master List'!$C:$C,'Master List'!E:E)=0),"NEEDS CASE WEIGHT","")</f>
        <v/>
      </c>
    </row>
    <row r="116" spans="1:4" x14ac:dyDescent="0.2">
      <c r="A116" s="30"/>
      <c r="B116" s="31"/>
      <c r="C116" s="32"/>
      <c r="D116" s="6" t="str">
        <f>IF(AND(C116&gt;"",_xlfn.XLOOKUP(C116,'Master List'!$C:$C,'Master List'!E:E)=0),"NEEDS CASE WEIGHT","")</f>
        <v/>
      </c>
    </row>
    <row r="117" spans="1:4" x14ac:dyDescent="0.2">
      <c r="A117" s="30"/>
      <c r="B117" s="31"/>
      <c r="C117" s="32"/>
      <c r="D117" s="6" t="str">
        <f>IF(AND(C117&gt;"",_xlfn.XLOOKUP(C117,'Master List'!$C:$C,'Master List'!E:E)=0),"NEEDS CASE WEIGHT","")</f>
        <v/>
      </c>
    </row>
    <row r="118" spans="1:4" x14ac:dyDescent="0.2">
      <c r="A118" s="30"/>
      <c r="B118" s="31"/>
      <c r="C118" s="32"/>
      <c r="D118" s="6" t="str">
        <f>IF(AND(C118&gt;"",_xlfn.XLOOKUP(C118,'Master List'!$C:$C,'Master List'!E:E)=0),"NEEDS CASE WEIGHT","")</f>
        <v/>
      </c>
    </row>
    <row r="119" spans="1:4" x14ac:dyDescent="0.2">
      <c r="A119" s="30"/>
      <c r="B119" s="31"/>
      <c r="C119" s="32"/>
      <c r="D119" s="6" t="str">
        <f>IF(AND(C119&gt;"",_xlfn.XLOOKUP(C119,'Master List'!$C:$C,'Master List'!E:E)=0),"NEEDS CASE WEIGHT","")</f>
        <v/>
      </c>
    </row>
    <row r="120" spans="1:4" x14ac:dyDescent="0.2">
      <c r="A120" s="30"/>
      <c r="B120" s="31"/>
      <c r="C120" s="32"/>
      <c r="D120" s="6" t="str">
        <f>IF(AND(C120&gt;"",_xlfn.XLOOKUP(C120,'Master List'!$C:$C,'Master List'!E:E)=0),"NEEDS CASE WEIGHT","")</f>
        <v/>
      </c>
    </row>
    <row r="121" spans="1:4" x14ac:dyDescent="0.2">
      <c r="A121" s="30"/>
      <c r="B121" s="31"/>
      <c r="C121" s="32"/>
      <c r="D121" s="6" t="str">
        <f>IF(AND(C121&gt;"",_xlfn.XLOOKUP(C121,'Master List'!$C:$C,'Master List'!E:E)=0),"NEEDS CASE WEIGHT","")</f>
        <v/>
      </c>
    </row>
    <row r="122" spans="1:4" x14ac:dyDescent="0.2">
      <c r="A122" s="30"/>
      <c r="B122" s="31"/>
      <c r="C122" s="32"/>
      <c r="D122" s="6" t="str">
        <f>IF(AND(C122&gt;"",_xlfn.XLOOKUP(C122,'Master List'!$C:$C,'Master List'!E:E)=0),"NEEDS CASE WEIGHT","")</f>
        <v/>
      </c>
    </row>
    <row r="123" spans="1:4" x14ac:dyDescent="0.2">
      <c r="A123" s="30"/>
      <c r="B123" s="31"/>
      <c r="C123" s="32"/>
      <c r="D123" s="6" t="str">
        <f>IF(AND(C123&gt;"",_xlfn.XLOOKUP(C123,'Master List'!$C:$C,'Master List'!E:E)=0),"NEEDS CASE WEIGHT","")</f>
        <v/>
      </c>
    </row>
    <row r="124" spans="1:4" x14ac:dyDescent="0.2">
      <c r="A124" s="30"/>
      <c r="B124" s="31"/>
      <c r="C124" s="32"/>
      <c r="D124" s="6" t="str">
        <f>IF(AND(C124&gt;"",_xlfn.XLOOKUP(C124,'Master List'!$C:$C,'Master List'!E:E)=0),"NEEDS CASE WEIGHT","")</f>
        <v/>
      </c>
    </row>
    <row r="125" spans="1:4" x14ac:dyDescent="0.2">
      <c r="A125" s="30"/>
      <c r="B125" s="31"/>
      <c r="C125" s="32"/>
      <c r="D125" s="6" t="str">
        <f>IF(AND(C125&gt;"",_xlfn.XLOOKUP(C125,'Master List'!$C:$C,'Master List'!E:E)=0),"NEEDS CASE WEIGHT","")</f>
        <v/>
      </c>
    </row>
    <row r="126" spans="1:4" x14ac:dyDescent="0.2">
      <c r="A126" s="30"/>
      <c r="B126" s="31"/>
      <c r="C126" s="32"/>
      <c r="D126" s="6" t="str">
        <f>IF(AND(C126&gt;"",_xlfn.XLOOKUP(C126,'Master List'!$C:$C,'Master List'!E:E)=0),"NEEDS CASE WEIGHT","")</f>
        <v/>
      </c>
    </row>
    <row r="127" spans="1:4" x14ac:dyDescent="0.2">
      <c r="A127" s="30"/>
      <c r="B127" s="31"/>
      <c r="C127" s="32"/>
      <c r="D127" s="6" t="str">
        <f>IF(AND(C127&gt;"",_xlfn.XLOOKUP(C127,'Master List'!$C:$C,'Master List'!E:E)=0),"NEEDS CASE WEIGHT","")</f>
        <v/>
      </c>
    </row>
    <row r="128" spans="1:4" x14ac:dyDescent="0.2">
      <c r="A128" s="30"/>
      <c r="B128" s="31"/>
      <c r="C128" s="32"/>
      <c r="D128" s="6" t="str">
        <f>IF(AND(C128&gt;"",_xlfn.XLOOKUP(C128,'Master List'!$C:$C,'Master List'!E:E)=0),"NEEDS CASE WEIGHT","")</f>
        <v/>
      </c>
    </row>
    <row r="129" spans="1:4" x14ac:dyDescent="0.2">
      <c r="A129" s="30"/>
      <c r="B129" s="31"/>
      <c r="C129" s="32"/>
      <c r="D129" s="6" t="str">
        <f>IF(AND(C129&gt;"",_xlfn.XLOOKUP(C129,'Master List'!$C:$C,'Master List'!E:E)=0),"NEEDS CASE WEIGHT","")</f>
        <v/>
      </c>
    </row>
    <row r="130" spans="1:4" x14ac:dyDescent="0.2">
      <c r="A130" s="30"/>
      <c r="B130" s="31"/>
      <c r="C130" s="32"/>
      <c r="D130" s="6" t="str">
        <f>IF(AND(C130&gt;"",_xlfn.XLOOKUP(C130,'Master List'!$C:$C,'Master List'!E:E)=0),"NEEDS CASE WEIGHT","")</f>
        <v/>
      </c>
    </row>
    <row r="131" spans="1:4" x14ac:dyDescent="0.2">
      <c r="A131" s="30"/>
      <c r="B131" s="31"/>
      <c r="C131" s="32"/>
      <c r="D131" s="6" t="str">
        <f>IF(AND(C131&gt;"",_xlfn.XLOOKUP(C131,'Master List'!$C:$C,'Master List'!E:E)=0),"NEEDS CASE WEIGHT","")</f>
        <v/>
      </c>
    </row>
    <row r="132" spans="1:4" x14ac:dyDescent="0.2">
      <c r="A132" s="30"/>
      <c r="B132" s="31"/>
      <c r="C132" s="32"/>
      <c r="D132" s="6" t="str">
        <f>IF(AND(C132&gt;"",_xlfn.XLOOKUP(C132,'Master List'!$C:$C,'Master List'!E:E)=0),"NEEDS CASE WEIGHT","")</f>
        <v/>
      </c>
    </row>
    <row r="133" spans="1:4" x14ac:dyDescent="0.2">
      <c r="A133" s="30"/>
      <c r="B133" s="31"/>
      <c r="C133" s="32"/>
      <c r="D133" s="6" t="str">
        <f>IF(AND(C133&gt;"",_xlfn.XLOOKUP(C133,'Master List'!$C:$C,'Master List'!E:E)=0),"NEEDS CASE WEIGHT","")</f>
        <v/>
      </c>
    </row>
    <row r="134" spans="1:4" x14ac:dyDescent="0.2">
      <c r="A134" s="30"/>
      <c r="B134" s="31"/>
      <c r="C134" s="32"/>
      <c r="D134" s="6" t="str">
        <f>IF(AND(C134&gt;"",_xlfn.XLOOKUP(C134,'Master List'!$C:$C,'Master List'!E:E)=0),"NEEDS CASE WEIGHT","")</f>
        <v/>
      </c>
    </row>
    <row r="135" spans="1:4" x14ac:dyDescent="0.2">
      <c r="A135" s="30"/>
      <c r="B135" s="31"/>
      <c r="C135" s="32"/>
      <c r="D135" s="6" t="str">
        <f>IF(AND(C135&gt;"",_xlfn.XLOOKUP(C135,'Master List'!$C:$C,'Master List'!E:E)=0),"NEEDS CASE WEIGHT","")</f>
        <v/>
      </c>
    </row>
    <row r="136" spans="1:4" x14ac:dyDescent="0.2">
      <c r="A136" s="30"/>
      <c r="B136" s="31"/>
      <c r="C136" s="32"/>
      <c r="D136" s="6" t="str">
        <f>IF(AND(C136&gt;"",_xlfn.XLOOKUP(C136,'Master List'!$C:$C,'Master List'!E:E)=0),"NEEDS CASE WEIGHT","")</f>
        <v/>
      </c>
    </row>
    <row r="137" spans="1:4" x14ac:dyDescent="0.2">
      <c r="A137" s="30"/>
      <c r="B137" s="31"/>
      <c r="C137" s="32"/>
      <c r="D137" s="6" t="str">
        <f>IF(AND(C137&gt;"",_xlfn.XLOOKUP(C137,'Master List'!$C:$C,'Master List'!E:E)=0),"NEEDS CASE WEIGHT","")</f>
        <v/>
      </c>
    </row>
    <row r="138" spans="1:4" x14ac:dyDescent="0.2">
      <c r="A138" s="30"/>
      <c r="B138" s="31"/>
      <c r="C138" s="32"/>
      <c r="D138" s="6" t="str">
        <f>IF(AND(C138&gt;"",_xlfn.XLOOKUP(C138,'Master List'!$C:$C,'Master List'!E:E)=0),"NEEDS CASE WEIGHT","")</f>
        <v/>
      </c>
    </row>
    <row r="139" spans="1:4" x14ac:dyDescent="0.2">
      <c r="A139" s="30"/>
      <c r="B139" s="31"/>
      <c r="C139" s="32"/>
      <c r="D139" s="6" t="str">
        <f>IF(AND(C139&gt;"",_xlfn.XLOOKUP(C139,'Master List'!$C:$C,'Master List'!E:E)=0),"NEEDS CASE WEIGHT","")</f>
        <v/>
      </c>
    </row>
    <row r="140" spans="1:4" x14ac:dyDescent="0.2">
      <c r="A140" s="30"/>
      <c r="B140" s="31"/>
      <c r="C140" s="32"/>
      <c r="D140" s="6" t="str">
        <f>IF(AND(C140&gt;"",_xlfn.XLOOKUP(C140,'Master List'!$C:$C,'Master List'!E:E)=0),"NEEDS CASE WEIGHT","")</f>
        <v/>
      </c>
    </row>
    <row r="141" spans="1:4" x14ac:dyDescent="0.2">
      <c r="A141" s="30"/>
      <c r="B141" s="31"/>
      <c r="C141" s="32"/>
      <c r="D141" s="6" t="str">
        <f>IF(AND(C141&gt;"",_xlfn.XLOOKUP(C141,'Master List'!$C:$C,'Master List'!E:E)=0),"NEEDS CASE WEIGHT","")</f>
        <v/>
      </c>
    </row>
    <row r="142" spans="1:4" x14ac:dyDescent="0.2">
      <c r="A142" s="30"/>
      <c r="B142" s="31"/>
      <c r="C142" s="32"/>
      <c r="D142" s="6" t="str">
        <f>IF(AND(C142&gt;"",_xlfn.XLOOKUP(C142,'Master List'!$C:$C,'Master List'!E:E)=0),"NEEDS CASE WEIGHT","")</f>
        <v/>
      </c>
    </row>
    <row r="143" spans="1:4" x14ac:dyDescent="0.2">
      <c r="A143" s="30"/>
      <c r="B143" s="31"/>
      <c r="C143" s="32"/>
      <c r="D143" s="6" t="str">
        <f>IF(AND(C143&gt;"",_xlfn.XLOOKUP(C143,'Master List'!$C:$C,'Master List'!E:E)=0),"NEEDS CASE WEIGHT","")</f>
        <v/>
      </c>
    </row>
    <row r="144" spans="1:4" x14ac:dyDescent="0.2">
      <c r="A144" s="30"/>
      <c r="B144" s="31"/>
      <c r="C144" s="32"/>
      <c r="D144" s="6" t="str">
        <f>IF(AND(C144&gt;"",_xlfn.XLOOKUP(C144,'Master List'!$C:$C,'Master List'!E:E)=0),"NEEDS CASE WEIGHT","")</f>
        <v/>
      </c>
    </row>
    <row r="145" spans="1:4" x14ac:dyDescent="0.2">
      <c r="A145" s="30"/>
      <c r="B145" s="31"/>
      <c r="C145" s="32"/>
      <c r="D145" s="6" t="str">
        <f>IF(AND(C145&gt;"",_xlfn.XLOOKUP(C145,'Master List'!$C:$C,'Master List'!E:E)=0),"NEEDS CASE WEIGHT","")</f>
        <v/>
      </c>
    </row>
    <row r="146" spans="1:4" x14ac:dyDescent="0.2">
      <c r="A146" s="30"/>
      <c r="B146" s="31"/>
      <c r="C146" s="32"/>
      <c r="D146" s="6" t="str">
        <f>IF(AND(C146&gt;"",_xlfn.XLOOKUP(C146,'Master List'!$C:$C,'Master List'!E:E)=0),"NEEDS CASE WEIGHT","")</f>
        <v/>
      </c>
    </row>
    <row r="147" spans="1:4" x14ac:dyDescent="0.2">
      <c r="A147" s="30"/>
      <c r="B147" s="31"/>
      <c r="C147" s="32"/>
      <c r="D147" s="6" t="str">
        <f>IF(AND(C147&gt;"",_xlfn.XLOOKUP(C147,'Master List'!$C:$C,'Master List'!E:E)=0),"NEEDS CASE WEIGHT","")</f>
        <v/>
      </c>
    </row>
    <row r="148" spans="1:4" x14ac:dyDescent="0.2">
      <c r="A148" s="30"/>
      <c r="B148" s="31"/>
      <c r="C148" s="32"/>
      <c r="D148" s="6" t="str">
        <f>IF(AND(C148&gt;"",_xlfn.XLOOKUP(C148,'Master List'!$C:$C,'Master List'!E:E)=0),"NEEDS CASE WEIGHT","")</f>
        <v/>
      </c>
    </row>
    <row r="149" spans="1:4" x14ac:dyDescent="0.2">
      <c r="A149" s="30"/>
      <c r="B149" s="31"/>
      <c r="C149" s="32"/>
      <c r="D149" s="6" t="str">
        <f>IF(AND(C149&gt;"",_xlfn.XLOOKUP(C149,'Master List'!$C:$C,'Master List'!E:E)=0),"NEEDS CASE WEIGHT","")</f>
        <v/>
      </c>
    </row>
    <row r="150" spans="1:4" x14ac:dyDescent="0.2">
      <c r="A150" s="30"/>
      <c r="B150" s="31"/>
      <c r="C150" s="32"/>
      <c r="D150" s="6" t="str">
        <f>IF(AND(C150&gt;"",_xlfn.XLOOKUP(C150,'Master List'!$C:$C,'Master List'!E:E)=0),"NEEDS CASE WEIGHT","")</f>
        <v/>
      </c>
    </row>
    <row r="151" spans="1:4" x14ac:dyDescent="0.2">
      <c r="A151" s="12"/>
      <c r="B151" s="13"/>
      <c r="C151" s="19"/>
      <c r="D151" s="6" t="str">
        <f>IF(AND(C151&gt;"",_xlfn.XLOOKUP(C151,'Master List'!$C:$C,'Master List'!E:E)=0),"NEEDS CASE WEIGHT","")</f>
        <v/>
      </c>
    </row>
    <row r="152" spans="1:4" x14ac:dyDescent="0.2">
      <c r="A152" s="12"/>
      <c r="B152" s="13"/>
      <c r="C152" s="19"/>
      <c r="D152" s="6" t="str">
        <f>IF(AND(C152&gt;"",_xlfn.XLOOKUP(C152,'Master List'!$C:$C,'Master List'!E:E)=0),"NEEDS CASE WEIGHT","")</f>
        <v/>
      </c>
    </row>
    <row r="153" spans="1:4" x14ac:dyDescent="0.2">
      <c r="A153" s="12"/>
      <c r="B153" s="13"/>
      <c r="C153" s="19"/>
      <c r="D153" s="6" t="str">
        <f>IF(AND(C153&gt;"",_xlfn.XLOOKUP(C153,'Master List'!$C:$C,'Master List'!E:E)=0),"NEEDS CASE WEIGHT","")</f>
        <v/>
      </c>
    </row>
    <row r="154" spans="1:4" x14ac:dyDescent="0.2">
      <c r="A154" s="12"/>
      <c r="B154" s="13"/>
      <c r="C154" s="19"/>
      <c r="D154" s="6" t="str">
        <f>IF(AND(C154&gt;"",_xlfn.XLOOKUP(C154,'Master List'!$C:$C,'Master List'!E:E)=0),"NEEDS CASE WEIGHT","")</f>
        <v/>
      </c>
    </row>
    <row r="155" spans="1:4" x14ac:dyDescent="0.2">
      <c r="A155" s="12"/>
      <c r="B155" s="13"/>
      <c r="C155" s="19"/>
      <c r="D155" s="6" t="str">
        <f>IF(AND(C155&gt;"",_xlfn.XLOOKUP(C155,'Master List'!$C:$C,'Master List'!E:E)=0),"NEEDS CASE WEIGHT","")</f>
        <v/>
      </c>
    </row>
    <row r="156" spans="1:4" x14ac:dyDescent="0.2">
      <c r="A156" s="12"/>
      <c r="B156" s="13"/>
      <c r="C156" s="19"/>
      <c r="D156" s="6" t="str">
        <f>IF(AND(C156&gt;"",_xlfn.XLOOKUP(C156,'Master List'!$C:$C,'Master List'!E:E)=0),"NEEDS CASE WEIGHT","")</f>
        <v/>
      </c>
    </row>
    <row r="157" spans="1:4" x14ac:dyDescent="0.2">
      <c r="A157" s="12"/>
      <c r="B157" s="13"/>
      <c r="C157" s="19"/>
      <c r="D157" s="6" t="str">
        <f>IF(AND(C157&gt;"",_xlfn.XLOOKUP(C157,'Master List'!$C:$C,'Master List'!E:E)=0),"NEEDS CASE WEIGHT","")</f>
        <v/>
      </c>
    </row>
    <row r="158" spans="1:4" x14ac:dyDescent="0.2">
      <c r="A158" s="12"/>
      <c r="B158" s="13"/>
      <c r="C158" s="19"/>
      <c r="D158" s="6" t="str">
        <f>IF(AND(C158&gt;"",_xlfn.XLOOKUP(C158,'Master List'!$C:$C,'Master List'!E:E)=0),"NEEDS CASE WEIGHT","")</f>
        <v/>
      </c>
    </row>
    <row r="159" spans="1:4" x14ac:dyDescent="0.2">
      <c r="A159" s="12"/>
      <c r="B159" s="13"/>
      <c r="C159" s="19"/>
      <c r="D159" s="6" t="str">
        <f>IF(AND(C159&gt;"",_xlfn.XLOOKUP(C159,'Master List'!$C:$C,'Master List'!E:E)=0),"NEEDS CASE WEIGHT","")</f>
        <v/>
      </c>
    </row>
    <row r="160" spans="1:4" x14ac:dyDescent="0.2">
      <c r="A160" s="12"/>
      <c r="B160" s="13"/>
      <c r="C160" s="19"/>
      <c r="D160" s="6" t="str">
        <f>IF(AND(C160&gt;"",_xlfn.XLOOKUP(C160,'Master List'!$C:$C,'Master List'!E:E)=0),"NEEDS CASE WEIGHT","")</f>
        <v/>
      </c>
    </row>
    <row r="161" spans="1:4" x14ac:dyDescent="0.2">
      <c r="A161" s="12"/>
      <c r="B161" s="13"/>
      <c r="C161" s="19"/>
      <c r="D161" s="6" t="str">
        <f>IF(AND(C161&gt;"",_xlfn.XLOOKUP(C161,'Master List'!$C:$C,'Master List'!E:E)=0),"NEEDS CASE WEIGHT","")</f>
        <v/>
      </c>
    </row>
    <row r="162" spans="1:4" x14ac:dyDescent="0.2">
      <c r="A162" s="12"/>
      <c r="B162" s="13"/>
      <c r="C162" s="19"/>
      <c r="D162" s="6" t="str">
        <f>IF(AND(C162&gt;"",_xlfn.XLOOKUP(C162,'Master List'!$C:$C,'Master List'!E:E)=0),"NEEDS CASE WEIGHT","")</f>
        <v/>
      </c>
    </row>
    <row r="163" spans="1:4" x14ac:dyDescent="0.2">
      <c r="A163" s="12"/>
      <c r="B163" s="13"/>
      <c r="C163" s="19"/>
      <c r="D163" s="6" t="str">
        <f>IF(AND(C163&gt;"",_xlfn.XLOOKUP(C163,'Master List'!$C:$C,'Master List'!E:E)=0),"NEEDS CASE WEIGHT","")</f>
        <v/>
      </c>
    </row>
    <row r="164" spans="1:4" x14ac:dyDescent="0.2">
      <c r="A164" s="12"/>
      <c r="B164" s="13"/>
      <c r="C164" s="19"/>
      <c r="D164" s="6" t="str">
        <f>IF(AND(C164&gt;"",_xlfn.XLOOKUP(C164,'Master List'!$C:$C,'Master List'!E:E)=0),"NEEDS CASE WEIGHT","")</f>
        <v/>
      </c>
    </row>
    <row r="165" spans="1:4" x14ac:dyDescent="0.2">
      <c r="A165" s="12"/>
      <c r="B165" s="13"/>
      <c r="C165" s="19"/>
      <c r="D165" s="6" t="str">
        <f>IF(AND(C165&gt;"",_xlfn.XLOOKUP(C165,'Master List'!$C:$C,'Master List'!E:E)=0),"NEEDS CASE WEIGHT","")</f>
        <v/>
      </c>
    </row>
    <row r="166" spans="1:4" x14ac:dyDescent="0.2">
      <c r="A166" s="12"/>
      <c r="B166" s="13"/>
      <c r="C166" s="19"/>
      <c r="D166" s="6" t="str">
        <f>IF(AND(C166&gt;"",_xlfn.XLOOKUP(C166,'Master List'!$C:$C,'Master List'!E:E)=0),"NEEDS CASE WEIGHT","")</f>
        <v/>
      </c>
    </row>
    <row r="167" spans="1:4" x14ac:dyDescent="0.2">
      <c r="A167" s="12"/>
      <c r="B167" s="13"/>
      <c r="C167" s="19"/>
      <c r="D167" s="6" t="str">
        <f>IF(AND(C167&gt;"",_xlfn.XLOOKUP(C167,'Master List'!$C:$C,'Master List'!E:E)=0),"NEEDS CASE WEIGHT","")</f>
        <v/>
      </c>
    </row>
    <row r="168" spans="1:4" x14ac:dyDescent="0.2">
      <c r="A168" s="12"/>
      <c r="B168" s="13"/>
      <c r="C168" s="19"/>
      <c r="D168" s="6" t="str">
        <f>IF(AND(C168&gt;"",_xlfn.XLOOKUP(C168,'Master List'!$C:$C,'Master List'!E:E)=0),"NEEDS CASE WEIGHT","")</f>
        <v/>
      </c>
    </row>
    <row r="169" spans="1:4" x14ac:dyDescent="0.2">
      <c r="A169" s="12"/>
      <c r="B169" s="13"/>
      <c r="C169" s="19"/>
      <c r="D169" s="6" t="str">
        <f>IF(AND(C169&gt;"",_xlfn.XLOOKUP(C169,'Master List'!$C:$C,'Master List'!E:E)=0),"NEEDS CASE WEIGHT","")</f>
        <v/>
      </c>
    </row>
    <row r="170" spans="1:4" x14ac:dyDescent="0.2">
      <c r="A170" s="12"/>
      <c r="B170" s="13"/>
      <c r="C170" s="19"/>
      <c r="D170" s="6" t="str">
        <f>IF(AND(C170&gt;"",_xlfn.XLOOKUP(C170,'Master List'!$C:$C,'Master List'!E:E)=0),"NEEDS CASE WEIGHT","")</f>
        <v/>
      </c>
    </row>
    <row r="171" spans="1:4" x14ac:dyDescent="0.2">
      <c r="A171" s="12"/>
      <c r="B171" s="13"/>
      <c r="C171" s="19"/>
      <c r="D171" s="6" t="str">
        <f>IF(AND(C171&gt;"",_xlfn.XLOOKUP(C171,'Master List'!$C:$C,'Master List'!E:E)=0),"NEEDS CASE WEIGHT","")</f>
        <v/>
      </c>
    </row>
    <row r="172" spans="1:4" x14ac:dyDescent="0.2">
      <c r="A172" s="12"/>
      <c r="B172" s="13"/>
      <c r="C172" s="19"/>
      <c r="D172" s="6" t="str">
        <f>IF(AND(C172&gt;"",_xlfn.XLOOKUP(C172,'Master List'!$C:$C,'Master List'!E:E)=0),"NEEDS CASE WEIGHT","")</f>
        <v/>
      </c>
    </row>
    <row r="173" spans="1:4" x14ac:dyDescent="0.2">
      <c r="A173" s="12"/>
      <c r="B173" s="13"/>
      <c r="C173" s="19"/>
      <c r="D173" s="6" t="str">
        <f>IF(AND(C173&gt;"",_xlfn.XLOOKUP(C173,'Master List'!$C:$C,'Master List'!E:E)=0),"NEEDS CASE WEIGHT","")</f>
        <v/>
      </c>
    </row>
    <row r="174" spans="1:4" x14ac:dyDescent="0.2">
      <c r="A174" s="12"/>
      <c r="B174" s="13"/>
      <c r="C174" s="19"/>
      <c r="D174" s="6" t="str">
        <f>IF(AND(C174&gt;"",_xlfn.XLOOKUP(C174,'Master List'!$C:$C,'Master List'!E:E)=0),"NEEDS CASE WEIGHT","")</f>
        <v/>
      </c>
    </row>
    <row r="175" spans="1:4" x14ac:dyDescent="0.2">
      <c r="A175" s="12"/>
      <c r="B175" s="13"/>
      <c r="C175" s="19"/>
      <c r="D175" s="6" t="str">
        <f>IF(AND(C175&gt;"",_xlfn.XLOOKUP(C175,'Master List'!$C:$C,'Master List'!E:E)=0),"NEEDS CASE WEIGHT","")</f>
        <v/>
      </c>
    </row>
    <row r="176" spans="1:4" x14ac:dyDescent="0.2">
      <c r="A176" s="12"/>
      <c r="B176" s="13"/>
      <c r="C176" s="19"/>
      <c r="D176" s="6" t="str">
        <f>IF(AND(C176&gt;"",_xlfn.XLOOKUP(C176,'Master List'!$C:$C,'Master List'!E:E)=0),"NEEDS CASE WEIGHT","")</f>
        <v/>
      </c>
    </row>
    <row r="177" spans="1:4" x14ac:dyDescent="0.2">
      <c r="A177" s="12"/>
      <c r="B177" s="13"/>
      <c r="C177" s="19"/>
      <c r="D177" s="6" t="str">
        <f>IF(AND(C177&gt;"",_xlfn.XLOOKUP(C177,'Master List'!$C:$C,'Master List'!E:E)=0),"NEEDS CASE WEIGHT","")</f>
        <v/>
      </c>
    </row>
    <row r="178" spans="1:4" x14ac:dyDescent="0.2">
      <c r="A178" s="12"/>
      <c r="B178" s="13"/>
      <c r="C178" s="19"/>
      <c r="D178" s="6" t="str">
        <f>IF(AND(C178&gt;"",_xlfn.XLOOKUP(C178,'Master List'!$C:$C,'Master List'!E:E)=0),"NEEDS CASE WEIGHT","")</f>
        <v/>
      </c>
    </row>
    <row r="179" spans="1:4" x14ac:dyDescent="0.2">
      <c r="A179" s="12"/>
      <c r="B179" s="13"/>
      <c r="C179" s="19"/>
      <c r="D179" s="6" t="str">
        <f>IF(AND(C179&gt;"",_xlfn.XLOOKUP(C179,'Master List'!$C:$C,'Master List'!E:E)=0),"NEEDS CASE WEIGHT","")</f>
        <v/>
      </c>
    </row>
    <row r="180" spans="1:4" x14ac:dyDescent="0.2">
      <c r="A180" s="12"/>
      <c r="B180" s="13"/>
      <c r="C180" s="19"/>
      <c r="D180" s="6" t="str">
        <f>IF(AND(C180&gt;"",_xlfn.XLOOKUP(C180,'Master List'!$C:$C,'Master List'!E:E)=0),"NEEDS CASE WEIGHT","")</f>
        <v/>
      </c>
    </row>
    <row r="181" spans="1:4" x14ac:dyDescent="0.2">
      <c r="A181" s="12"/>
      <c r="B181" s="13"/>
      <c r="C181" s="19"/>
      <c r="D181" s="6" t="str">
        <f>IF(AND(C181&gt;"",_xlfn.XLOOKUP(C181,'Master List'!$C:$C,'Master List'!E:E)=0),"NEEDS CASE WEIGHT","")</f>
        <v/>
      </c>
    </row>
    <row r="182" spans="1:4" x14ac:dyDescent="0.2">
      <c r="A182" s="12"/>
      <c r="B182" s="13"/>
      <c r="C182" s="19"/>
      <c r="D182" s="6" t="str">
        <f>IF(AND(C182&gt;"",_xlfn.XLOOKUP(C182,'Master List'!$C:$C,'Master List'!E:E)=0),"NEEDS CASE WEIGHT","")</f>
        <v/>
      </c>
    </row>
    <row r="183" spans="1:4" x14ac:dyDescent="0.2">
      <c r="A183" s="12"/>
      <c r="B183" s="13"/>
      <c r="C183" s="19"/>
      <c r="D183" s="6" t="str">
        <f>IF(AND(C183&gt;"",_xlfn.XLOOKUP(C183,'Master List'!$C:$C,'Master List'!E:E)=0),"NEEDS CASE WEIGHT","")</f>
        <v/>
      </c>
    </row>
    <row r="184" spans="1:4" x14ac:dyDescent="0.2">
      <c r="A184" s="12"/>
      <c r="B184" s="13"/>
      <c r="C184" s="19"/>
      <c r="D184" s="6" t="str">
        <f>IF(AND(C184&gt;"",_xlfn.XLOOKUP(C184,'Master List'!$C:$C,'Master List'!E:E)=0),"NEEDS CASE WEIGHT","")</f>
        <v/>
      </c>
    </row>
    <row r="185" spans="1:4" x14ac:dyDescent="0.2">
      <c r="A185" s="12"/>
      <c r="B185" s="13"/>
      <c r="C185" s="19"/>
      <c r="D185" s="6" t="str">
        <f>IF(AND(C185&gt;"",_xlfn.XLOOKUP(C185,'Master List'!$C:$C,'Master List'!E:E)=0),"NEEDS CASE WEIGHT","")</f>
        <v/>
      </c>
    </row>
    <row r="186" spans="1:4" x14ac:dyDescent="0.2">
      <c r="A186" s="12"/>
      <c r="B186" s="13"/>
      <c r="C186" s="19"/>
      <c r="D186" s="6" t="str">
        <f>IF(AND(C186&gt;"",_xlfn.XLOOKUP(C186,'Master List'!$C:$C,'Master List'!E:E)=0),"NEEDS CASE WEIGHT","")</f>
        <v/>
      </c>
    </row>
    <row r="187" spans="1:4" x14ac:dyDescent="0.2">
      <c r="A187" s="12"/>
      <c r="B187" s="13"/>
      <c r="C187" s="19"/>
      <c r="D187" s="6" t="str">
        <f>IF(AND(C187&gt;"",_xlfn.XLOOKUP(C187,'Master List'!$C:$C,'Master List'!E:E)=0),"NEEDS CASE WEIGHT","")</f>
        <v/>
      </c>
    </row>
    <row r="188" spans="1:4" x14ac:dyDescent="0.2">
      <c r="A188" s="12"/>
      <c r="B188" s="13"/>
      <c r="C188" s="19"/>
      <c r="D188" s="6" t="str">
        <f>IF(AND(C188&gt;"",_xlfn.XLOOKUP(C188,'Master List'!$C:$C,'Master List'!E:E)=0),"NEEDS CASE WEIGHT","")</f>
        <v/>
      </c>
    </row>
    <row r="189" spans="1:4" x14ac:dyDescent="0.2">
      <c r="A189" s="12"/>
      <c r="B189" s="13"/>
      <c r="C189" s="19"/>
      <c r="D189" s="6" t="str">
        <f>IF(AND(C189&gt;"",_xlfn.XLOOKUP(C189,'Master List'!$C:$C,'Master List'!E:E)=0),"NEEDS CASE WEIGHT","")</f>
        <v/>
      </c>
    </row>
    <row r="190" spans="1:4" x14ac:dyDescent="0.2">
      <c r="A190" s="12"/>
      <c r="B190" s="13"/>
      <c r="C190" s="19"/>
      <c r="D190" s="6" t="str">
        <f>IF(AND(C190&gt;"",_xlfn.XLOOKUP(C190,'Master List'!$C:$C,'Master List'!E:E)=0),"NEEDS CASE WEIGHT","")</f>
        <v/>
      </c>
    </row>
    <row r="191" spans="1:4" x14ac:dyDescent="0.2">
      <c r="A191" s="12"/>
      <c r="B191" s="13"/>
      <c r="C191" s="19"/>
      <c r="D191" s="6" t="str">
        <f>IF(AND(C191&gt;"",_xlfn.XLOOKUP(C191,'Master List'!$C:$C,'Master List'!E:E)=0),"NEEDS CASE WEIGHT","")</f>
        <v/>
      </c>
    </row>
    <row r="192" spans="1:4" x14ac:dyDescent="0.2">
      <c r="A192" s="12"/>
      <c r="B192" s="13"/>
      <c r="C192" s="19"/>
      <c r="D192" s="6" t="str">
        <f>IF(AND(C192&gt;"",_xlfn.XLOOKUP(C192,'Master List'!$C:$C,'Master List'!E:E)=0),"NEEDS CASE WEIGHT","")</f>
        <v/>
      </c>
    </row>
    <row r="193" spans="1:4" x14ac:dyDescent="0.2">
      <c r="A193" s="12"/>
      <c r="B193" s="13"/>
      <c r="C193" s="19"/>
      <c r="D193" s="6" t="str">
        <f>IF(AND(C193&gt;"",_xlfn.XLOOKUP(C193,'Master List'!$C:$C,'Master List'!E:E)=0),"NEEDS CASE WEIGHT","")</f>
        <v/>
      </c>
    </row>
    <row r="194" spans="1:4" x14ac:dyDescent="0.2">
      <c r="A194" s="12"/>
      <c r="B194" s="13"/>
      <c r="C194" s="19"/>
      <c r="D194" s="6" t="str">
        <f>IF(AND(C194&gt;"",_xlfn.XLOOKUP(C194,'Master List'!$C:$C,'Master List'!E:E)=0),"NEEDS CASE WEIGHT","")</f>
        <v/>
      </c>
    </row>
    <row r="195" spans="1:4" x14ac:dyDescent="0.2">
      <c r="A195" s="12"/>
      <c r="B195" s="13"/>
      <c r="C195" s="19"/>
      <c r="D195" s="6" t="str">
        <f>IF(AND(C195&gt;"",_xlfn.XLOOKUP(C195,'Master List'!$C:$C,'Master List'!E:E)=0),"NEEDS CASE WEIGHT","")</f>
        <v/>
      </c>
    </row>
    <row r="196" spans="1:4" x14ac:dyDescent="0.2">
      <c r="A196" s="12"/>
      <c r="B196" s="13"/>
      <c r="C196" s="19"/>
      <c r="D196" s="6" t="str">
        <f>IF(AND(C196&gt;"",_xlfn.XLOOKUP(C196,'Master List'!$C:$C,'Master List'!E:E)=0),"NEEDS CASE WEIGHT","")</f>
        <v/>
      </c>
    </row>
    <row r="197" spans="1:4" x14ac:dyDescent="0.2">
      <c r="A197" s="12"/>
      <c r="B197" s="13"/>
      <c r="C197" s="19"/>
      <c r="D197" s="6" t="str">
        <f>IF(AND(C197&gt;"",_xlfn.XLOOKUP(C197,'Master List'!$C:$C,'Master List'!E:E)=0),"NEEDS CASE WEIGHT","")</f>
        <v/>
      </c>
    </row>
    <row r="198" spans="1:4" x14ac:dyDescent="0.2">
      <c r="A198" s="12"/>
      <c r="B198" s="13"/>
      <c r="C198" s="19"/>
      <c r="D198" s="6" t="str">
        <f>IF(AND(C198&gt;"",_xlfn.XLOOKUP(C198,'Master List'!$C:$C,'Master List'!E:E)=0),"NEEDS CASE WEIGHT","")</f>
        <v/>
      </c>
    </row>
    <row r="199" spans="1:4" x14ac:dyDescent="0.2">
      <c r="A199" s="12"/>
      <c r="B199" s="13"/>
      <c r="C199" s="19"/>
      <c r="D199" s="6" t="str">
        <f>IF(AND(C199&gt;"",_xlfn.XLOOKUP(C199,'Master List'!$C:$C,'Master List'!E:E)=0),"NEEDS CASE WEIGHT","")</f>
        <v/>
      </c>
    </row>
    <row r="200" spans="1:4" x14ac:dyDescent="0.2">
      <c r="A200" s="12"/>
      <c r="B200" s="13"/>
      <c r="C200" s="19"/>
      <c r="D200" s="6" t="str">
        <f>IF(AND(C200&gt;"",_xlfn.XLOOKUP(C200,'Master List'!$C:$C,'Master List'!E:E)=0),"NEEDS CASE WEIGHT","")</f>
        <v/>
      </c>
    </row>
    <row r="201" spans="1:4" x14ac:dyDescent="0.2">
      <c r="A201" s="12"/>
      <c r="B201" s="13"/>
      <c r="C201" s="19"/>
      <c r="D201" s="6" t="str">
        <f>IF(AND(C201&gt;"",_xlfn.XLOOKUP(C201,'Master List'!$C:$C,'Master List'!E:E)=0),"NEEDS CASE WEIGHT","")</f>
        <v/>
      </c>
    </row>
    <row r="202" spans="1:4" x14ac:dyDescent="0.2">
      <c r="A202" s="12"/>
      <c r="B202" s="13"/>
      <c r="C202" s="19"/>
      <c r="D202" s="6" t="str">
        <f>IF(AND(C202&gt;"",_xlfn.XLOOKUP(C202,'Master List'!$C:$C,'Master List'!E:E)=0),"NEEDS CASE WEIGHT","")</f>
        <v/>
      </c>
    </row>
    <row r="203" spans="1:4" x14ac:dyDescent="0.2">
      <c r="A203" s="12"/>
      <c r="B203" s="13"/>
      <c r="C203" s="19"/>
      <c r="D203" s="6" t="str">
        <f>IF(AND(C203&gt;"",_xlfn.XLOOKUP(C203,'Master List'!$C:$C,'Master List'!E:E)=0),"NEEDS CASE WEIGHT","")</f>
        <v/>
      </c>
    </row>
    <row r="204" spans="1:4" x14ac:dyDescent="0.2">
      <c r="A204" s="12"/>
      <c r="B204" s="13"/>
      <c r="C204" s="19"/>
      <c r="D204" s="6" t="str">
        <f>IF(AND(C204&gt;"",_xlfn.XLOOKUP(C204,'Master List'!$C:$C,'Master List'!E:E)=0),"NEEDS CASE WEIGHT","")</f>
        <v/>
      </c>
    </row>
    <row r="205" spans="1:4" x14ac:dyDescent="0.2">
      <c r="A205" s="12"/>
      <c r="B205" s="13"/>
      <c r="C205" s="19"/>
      <c r="D205" s="6" t="str">
        <f>IF(AND(C205&gt;"",_xlfn.XLOOKUP(C205,'Master List'!$C:$C,'Master List'!E:E)=0),"NEEDS CASE WEIGHT","")</f>
        <v/>
      </c>
    </row>
    <row r="206" spans="1:4" x14ac:dyDescent="0.2">
      <c r="A206" s="12"/>
      <c r="B206" s="13"/>
      <c r="C206" s="19"/>
      <c r="D206" s="6" t="str">
        <f>IF(AND(C206&gt;"",_xlfn.XLOOKUP(C206,'Master List'!$C:$C,'Master List'!E:E)=0),"NEEDS CASE WEIGHT","")</f>
        <v/>
      </c>
    </row>
    <row r="207" spans="1:4" x14ac:dyDescent="0.2">
      <c r="A207" s="12"/>
      <c r="B207" s="13"/>
      <c r="C207" s="19"/>
      <c r="D207" s="6" t="str">
        <f>IF(AND(C207&gt;"",_xlfn.XLOOKUP(C207,'Master List'!$C:$C,'Master List'!E:E)=0),"NEEDS CASE WEIGHT","")</f>
        <v/>
      </c>
    </row>
    <row r="208" spans="1:4" x14ac:dyDescent="0.2">
      <c r="A208" s="12"/>
      <c r="B208" s="13"/>
      <c r="C208" s="19"/>
      <c r="D208" s="6" t="str">
        <f>IF(AND(C208&gt;"",_xlfn.XLOOKUP(C208,'Master List'!$C:$C,'Master List'!E:E)=0),"NEEDS CASE WEIGHT","")</f>
        <v/>
      </c>
    </row>
    <row r="209" spans="1:4" x14ac:dyDescent="0.2">
      <c r="A209" s="12"/>
      <c r="B209" s="13"/>
      <c r="C209" s="19"/>
      <c r="D209" s="6" t="str">
        <f>IF(AND(C209&gt;"",_xlfn.XLOOKUP(C209,'Master List'!$C:$C,'Master List'!E:E)=0),"NEEDS CASE WEIGHT","")</f>
        <v/>
      </c>
    </row>
    <row r="210" spans="1:4" x14ac:dyDescent="0.2">
      <c r="A210" s="12"/>
      <c r="B210" s="13"/>
      <c r="C210" s="19"/>
      <c r="D210" s="6" t="str">
        <f>IF(AND(C210&gt;"",_xlfn.XLOOKUP(C210,'Master List'!$C:$C,'Master List'!E:E)=0),"NEEDS CASE WEIGHT","")</f>
        <v/>
      </c>
    </row>
    <row r="211" spans="1:4" x14ac:dyDescent="0.2">
      <c r="A211" s="12"/>
      <c r="B211" s="13"/>
      <c r="C211" s="19"/>
      <c r="D211" s="6" t="str">
        <f>IF(AND(C211&gt;"",_xlfn.XLOOKUP(C211,'Master List'!$C:$C,'Master List'!E:E)=0),"NEEDS CASE WEIGHT","")</f>
        <v/>
      </c>
    </row>
    <row r="212" spans="1:4" x14ac:dyDescent="0.2">
      <c r="A212" s="12"/>
      <c r="B212" s="13"/>
      <c r="C212" s="19"/>
      <c r="D212" s="6" t="str">
        <f>IF(AND(C212&gt;"",_xlfn.XLOOKUP(C212,'Master List'!$C:$C,'Master List'!E:E)=0),"NEEDS CASE WEIGHT","")</f>
        <v/>
      </c>
    </row>
    <row r="213" spans="1:4" x14ac:dyDescent="0.2">
      <c r="A213" s="12"/>
      <c r="B213" s="13"/>
      <c r="C213" s="19"/>
      <c r="D213" s="6" t="str">
        <f>IF(AND(C213&gt;"",_xlfn.XLOOKUP(C213,'Master List'!$C:$C,'Master List'!E:E)=0),"NEEDS CASE WEIGHT","")</f>
        <v/>
      </c>
    </row>
    <row r="214" spans="1:4" x14ac:dyDescent="0.2">
      <c r="A214" s="12"/>
      <c r="B214" s="13"/>
      <c r="C214" s="19"/>
      <c r="D214" s="6" t="str">
        <f>IF(AND(C214&gt;"",_xlfn.XLOOKUP(C214,'Master List'!$C:$C,'Master List'!E:E)=0),"NEEDS CASE WEIGHT","")</f>
        <v/>
      </c>
    </row>
    <row r="215" spans="1:4" x14ac:dyDescent="0.2">
      <c r="A215" s="12"/>
      <c r="B215" s="13"/>
      <c r="C215" s="19"/>
      <c r="D215" s="6" t="str">
        <f>IF(AND(C215&gt;"",_xlfn.XLOOKUP(C215,'Master List'!$C:$C,'Master List'!E:E)=0),"NEEDS CASE WEIGHT","")</f>
        <v/>
      </c>
    </row>
    <row r="216" spans="1:4" x14ac:dyDescent="0.2">
      <c r="A216" s="12"/>
      <c r="B216" s="13"/>
      <c r="C216" s="19"/>
      <c r="D216" s="6" t="str">
        <f>IF(AND(C216&gt;"",_xlfn.XLOOKUP(C216,'Master List'!$C:$C,'Master List'!E:E)=0),"NEEDS CASE WEIGHT","")</f>
        <v/>
      </c>
    </row>
    <row r="217" spans="1:4" x14ac:dyDescent="0.2">
      <c r="A217" s="12"/>
      <c r="B217" s="13"/>
      <c r="C217" s="19"/>
      <c r="D217" s="6" t="str">
        <f>IF(AND(C217&gt;"",_xlfn.XLOOKUP(C217,'Master List'!$C:$C,'Master List'!E:E)=0),"NEEDS CASE WEIGHT","")</f>
        <v/>
      </c>
    </row>
    <row r="218" spans="1:4" x14ac:dyDescent="0.2">
      <c r="A218" s="12"/>
      <c r="B218" s="13"/>
      <c r="C218" s="19"/>
      <c r="D218" s="6" t="str">
        <f>IF(AND(C218&gt;"",_xlfn.XLOOKUP(C218,'Master List'!$C:$C,'Master List'!E:E)=0),"NEEDS CASE WEIGHT","")</f>
        <v/>
      </c>
    </row>
    <row r="219" spans="1:4" x14ac:dyDescent="0.2">
      <c r="A219" s="12"/>
      <c r="B219" s="13"/>
      <c r="C219" s="19"/>
      <c r="D219" s="6" t="str">
        <f>IF(AND(C219&gt;"",_xlfn.XLOOKUP(C219,'Master List'!$C:$C,'Master List'!E:E)=0),"NEEDS CASE WEIGHT","")</f>
        <v/>
      </c>
    </row>
    <row r="220" spans="1:4" x14ac:dyDescent="0.2">
      <c r="A220" s="12"/>
      <c r="B220" s="13"/>
      <c r="C220" s="19"/>
      <c r="D220" s="6" t="str">
        <f>IF(AND(C220&gt;"",_xlfn.XLOOKUP(C220,'Master List'!$C:$C,'Master List'!E:E)=0),"NEEDS CASE WEIGHT","")</f>
        <v/>
      </c>
    </row>
    <row r="221" spans="1:4" x14ac:dyDescent="0.2">
      <c r="A221" s="12"/>
      <c r="B221" s="13"/>
      <c r="C221" s="19"/>
      <c r="D221" s="6" t="str">
        <f>IF(AND(C221&gt;"",_xlfn.XLOOKUP(C221,'Master List'!$C:$C,'Master List'!E:E)=0),"NEEDS CASE WEIGHT","")</f>
        <v/>
      </c>
    </row>
    <row r="222" spans="1:4" x14ac:dyDescent="0.2">
      <c r="A222" s="12"/>
      <c r="B222" s="13"/>
      <c r="C222" s="19"/>
      <c r="D222" s="6" t="str">
        <f>IF(AND(C222&gt;"",_xlfn.XLOOKUP(C222,'Master List'!$C:$C,'Master List'!E:E)=0),"NEEDS CASE WEIGHT","")</f>
        <v/>
      </c>
    </row>
    <row r="223" spans="1:4" x14ac:dyDescent="0.2">
      <c r="A223" s="12"/>
      <c r="B223" s="13"/>
      <c r="C223" s="19"/>
      <c r="D223" s="6" t="str">
        <f>IF(AND(C223&gt;"",_xlfn.XLOOKUP(C223,'Master List'!$C:$C,'Master List'!E:E)=0),"NEEDS CASE WEIGHT","")</f>
        <v/>
      </c>
    </row>
    <row r="224" spans="1:4" x14ac:dyDescent="0.2">
      <c r="A224" s="12"/>
      <c r="B224" s="13"/>
      <c r="C224" s="19"/>
      <c r="D224" s="6" t="str">
        <f>IF(AND(C224&gt;"",_xlfn.XLOOKUP(C224,'Master List'!$C:$C,'Master List'!E:E)=0),"NEEDS CASE WEIGHT","")</f>
        <v/>
      </c>
    </row>
    <row r="225" spans="1:4" x14ac:dyDescent="0.2">
      <c r="A225" s="12"/>
      <c r="B225" s="13"/>
      <c r="C225" s="19"/>
      <c r="D225" s="6" t="str">
        <f>IF(AND(C225&gt;"",_xlfn.XLOOKUP(C225,'Master List'!$C:$C,'Master List'!E:E)=0),"NEEDS CASE WEIGHT","")</f>
        <v/>
      </c>
    </row>
    <row r="226" spans="1:4" x14ac:dyDescent="0.2">
      <c r="A226" s="12"/>
      <c r="B226" s="13"/>
      <c r="C226" s="19"/>
      <c r="D226" s="6" t="str">
        <f>IF(AND(C226&gt;"",_xlfn.XLOOKUP(C226,'Master List'!$C:$C,'Master List'!E:E)=0),"NEEDS CASE WEIGHT","")</f>
        <v/>
      </c>
    </row>
    <row r="227" spans="1:4" x14ac:dyDescent="0.2">
      <c r="A227" s="12"/>
      <c r="B227" s="13"/>
      <c r="C227" s="19"/>
      <c r="D227" s="6" t="str">
        <f>IF(AND(C227&gt;"",_xlfn.XLOOKUP(C227,'Master List'!$C:$C,'Master List'!E:E)=0),"NEEDS CASE WEIGHT","")</f>
        <v/>
      </c>
    </row>
    <row r="228" spans="1:4" x14ac:dyDescent="0.2">
      <c r="A228" s="12"/>
      <c r="B228" s="13"/>
      <c r="C228" s="19"/>
      <c r="D228" s="6" t="str">
        <f>IF(AND(C228&gt;"",_xlfn.XLOOKUP(C228,'Master List'!$C:$C,'Master List'!E:E)=0),"NEEDS CASE WEIGHT","")</f>
        <v/>
      </c>
    </row>
    <row r="229" spans="1:4" x14ac:dyDescent="0.2">
      <c r="A229" s="12"/>
      <c r="B229" s="13"/>
      <c r="C229" s="19"/>
      <c r="D229" s="6" t="str">
        <f>IF(AND(C229&gt;"",_xlfn.XLOOKUP(C229,'Master List'!$C:$C,'Master List'!E:E)=0),"NEEDS CASE WEIGHT","")</f>
        <v/>
      </c>
    </row>
    <row r="230" spans="1:4" x14ac:dyDescent="0.2">
      <c r="A230" s="12"/>
      <c r="B230" s="13"/>
      <c r="C230" s="19"/>
      <c r="D230" s="6" t="str">
        <f>IF(AND(C230&gt;"",_xlfn.XLOOKUP(C230,'Master List'!$C:$C,'Master List'!E:E)=0),"NEEDS CASE WEIGHT","")</f>
        <v/>
      </c>
    </row>
    <row r="231" spans="1:4" x14ac:dyDescent="0.2">
      <c r="A231" s="12"/>
      <c r="B231" s="13"/>
      <c r="C231" s="19"/>
      <c r="D231" s="6" t="str">
        <f>IF(AND(C231&gt;"",_xlfn.XLOOKUP(C231,'Master List'!$C:$C,'Master List'!E:E)=0),"NEEDS CASE WEIGHT","")</f>
        <v/>
      </c>
    </row>
    <row r="232" spans="1:4" x14ac:dyDescent="0.2">
      <c r="A232" s="12"/>
      <c r="B232" s="13"/>
      <c r="C232" s="19"/>
      <c r="D232" s="6" t="str">
        <f>IF(AND(C232&gt;"",_xlfn.XLOOKUP(C232,'Master List'!$C:$C,'Master List'!E:E)=0),"NEEDS CASE WEIGHT","")</f>
        <v/>
      </c>
    </row>
    <row r="233" spans="1:4" x14ac:dyDescent="0.2">
      <c r="A233" s="12"/>
      <c r="B233" s="13"/>
      <c r="C233" s="19"/>
      <c r="D233" s="6" t="str">
        <f>IF(AND(C233&gt;"",_xlfn.XLOOKUP(C233,'Master List'!$C:$C,'Master List'!E:E)=0),"NEEDS CASE WEIGHT","")</f>
        <v/>
      </c>
    </row>
    <row r="234" spans="1:4" x14ac:dyDescent="0.2">
      <c r="A234" s="12"/>
      <c r="B234" s="13"/>
      <c r="C234" s="19"/>
      <c r="D234" s="6" t="str">
        <f>IF(AND(C234&gt;"",_xlfn.XLOOKUP(C234,'Master List'!$C:$C,'Master List'!E:E)=0),"NEEDS CASE WEIGHT","")</f>
        <v/>
      </c>
    </row>
    <row r="235" spans="1:4" x14ac:dyDescent="0.2">
      <c r="A235" s="12"/>
      <c r="B235" s="13"/>
      <c r="C235" s="19"/>
      <c r="D235" s="6" t="str">
        <f>IF(AND(C235&gt;"",_xlfn.XLOOKUP(C235,'Master List'!$C:$C,'Master List'!E:E)=0),"NEEDS CASE WEIGHT","")</f>
        <v/>
      </c>
    </row>
    <row r="236" spans="1:4" x14ac:dyDescent="0.2">
      <c r="A236" s="12"/>
      <c r="B236" s="13"/>
      <c r="C236" s="19"/>
      <c r="D236" s="6" t="str">
        <f>IF(AND(C236&gt;"",_xlfn.XLOOKUP(C236,'Master List'!$C:$C,'Master List'!E:E)=0),"NEEDS CASE WEIGHT","")</f>
        <v/>
      </c>
    </row>
    <row r="237" spans="1:4" x14ac:dyDescent="0.2">
      <c r="A237" s="12"/>
      <c r="B237" s="13"/>
      <c r="C237" s="19"/>
      <c r="D237" s="6" t="str">
        <f>IF(AND(C237&gt;"",_xlfn.XLOOKUP(C237,'Master List'!$C:$C,'Master List'!E:E)=0),"NEEDS CASE WEIGHT","")</f>
        <v/>
      </c>
    </row>
    <row r="238" spans="1:4" x14ac:dyDescent="0.2">
      <c r="A238" s="12"/>
      <c r="B238" s="13"/>
      <c r="C238" s="19"/>
      <c r="D238" s="6" t="str">
        <f>IF(AND(C238&gt;"",_xlfn.XLOOKUP(C238,'Master List'!$C:$C,'Master List'!E:E)=0),"NEEDS CASE WEIGHT","")</f>
        <v/>
      </c>
    </row>
    <row r="239" spans="1:4" x14ac:dyDescent="0.2">
      <c r="A239" s="12"/>
      <c r="B239" s="13"/>
      <c r="C239" s="19"/>
      <c r="D239" s="6" t="str">
        <f>IF(AND(C239&gt;"",_xlfn.XLOOKUP(C239,'Master List'!$C:$C,'Master List'!E:E)=0),"NEEDS CASE WEIGHT","")</f>
        <v/>
      </c>
    </row>
    <row r="240" spans="1:4" x14ac:dyDescent="0.2">
      <c r="A240" s="12"/>
      <c r="B240" s="13"/>
      <c r="C240" s="19"/>
      <c r="D240" s="6" t="str">
        <f>IF(AND(C240&gt;"",_xlfn.XLOOKUP(C240,'Master List'!$C:$C,'Master List'!E:E)=0),"NEEDS CASE WEIGHT","")</f>
        <v/>
      </c>
    </row>
    <row r="241" spans="1:4" x14ac:dyDescent="0.2">
      <c r="A241" s="12"/>
      <c r="B241" s="13"/>
      <c r="C241" s="19"/>
      <c r="D241" s="6" t="str">
        <f>IF(AND(C241&gt;"",_xlfn.XLOOKUP(C241,'Master List'!$C:$C,'Master List'!E:E)=0),"NEEDS CASE WEIGHT","")</f>
        <v/>
      </c>
    </row>
    <row r="242" spans="1:4" x14ac:dyDescent="0.2">
      <c r="A242" s="12"/>
      <c r="B242" s="13"/>
      <c r="C242" s="19"/>
      <c r="D242" s="6" t="str">
        <f>IF(AND(C242&gt;"",_xlfn.XLOOKUP(C242,'Master List'!$C:$C,'Master List'!E:E)=0),"NEEDS CASE WEIGHT","")</f>
        <v/>
      </c>
    </row>
    <row r="243" spans="1:4" x14ac:dyDescent="0.2">
      <c r="A243" s="12"/>
      <c r="B243" s="13"/>
      <c r="C243" s="19"/>
      <c r="D243" s="6" t="str">
        <f>IF(AND(C243&gt;"",_xlfn.XLOOKUP(C243,'Master List'!$C:$C,'Master List'!E:E)=0),"NEEDS CASE WEIGHT","")</f>
        <v/>
      </c>
    </row>
    <row r="244" spans="1:4" x14ac:dyDescent="0.2">
      <c r="A244" s="12"/>
      <c r="B244" s="13"/>
      <c r="C244" s="19"/>
      <c r="D244" s="6" t="str">
        <f>IF(AND(C244&gt;"",_xlfn.XLOOKUP(C244,'Master List'!$C:$C,'Master List'!E:E)=0),"NEEDS CASE WEIGHT","")</f>
        <v/>
      </c>
    </row>
    <row r="245" spans="1:4" x14ac:dyDescent="0.2">
      <c r="A245" s="12"/>
      <c r="B245" s="13"/>
      <c r="C245" s="19"/>
      <c r="D245" s="6" t="str">
        <f>IF(AND(C245&gt;"",_xlfn.XLOOKUP(C245,'Master List'!$C:$C,'Master List'!E:E)=0),"NEEDS CASE WEIGHT","")</f>
        <v/>
      </c>
    </row>
    <row r="246" spans="1:4" x14ac:dyDescent="0.2">
      <c r="A246" s="12"/>
      <c r="B246" s="13"/>
      <c r="C246" s="19"/>
      <c r="D246" s="6" t="str">
        <f>IF(AND(C246&gt;"",_xlfn.XLOOKUP(C246,'Master List'!$C:$C,'Master List'!E:E)=0),"NEEDS CASE WEIGHT","")</f>
        <v/>
      </c>
    </row>
    <row r="247" spans="1:4" x14ac:dyDescent="0.2">
      <c r="A247" s="12"/>
      <c r="B247" s="13"/>
      <c r="C247" s="19"/>
      <c r="D247" s="6" t="str">
        <f>IF(AND(C247&gt;"",_xlfn.XLOOKUP(C247,'Master List'!$C:$C,'Master List'!E:E)=0),"NEEDS CASE WEIGHT","")</f>
        <v/>
      </c>
    </row>
    <row r="248" spans="1:4" x14ac:dyDescent="0.2">
      <c r="A248" s="12"/>
      <c r="B248" s="13"/>
      <c r="C248" s="19"/>
      <c r="D248" s="6" t="str">
        <f>IF(AND(C248&gt;"",_xlfn.XLOOKUP(C248,'Master List'!$C:$C,'Master List'!E:E)=0),"NEEDS CASE WEIGHT","")</f>
        <v/>
      </c>
    </row>
    <row r="249" spans="1:4" x14ac:dyDescent="0.2">
      <c r="A249" s="12"/>
      <c r="B249" s="13"/>
      <c r="C249" s="19"/>
      <c r="D249" s="6" t="str">
        <f>IF(AND(C249&gt;"",_xlfn.XLOOKUP(C249,'Master List'!$C:$C,'Master List'!E:E)=0),"NEEDS CASE WEIGHT","")</f>
        <v/>
      </c>
    </row>
    <row r="250" spans="1:4" x14ac:dyDescent="0.2">
      <c r="A250" s="12"/>
      <c r="B250" s="13"/>
      <c r="C250" s="19"/>
      <c r="D250" s="6" t="str">
        <f>IF(AND(C250&gt;"",_xlfn.XLOOKUP(C250,'Master List'!$C:$C,'Master List'!E:E)=0),"NEEDS CASE WEIGHT","")</f>
        <v/>
      </c>
    </row>
    <row r="251" spans="1:4" x14ac:dyDescent="0.2">
      <c r="A251" s="12"/>
      <c r="B251" s="13"/>
      <c r="C251" s="19"/>
      <c r="D251" s="6" t="str">
        <f>IF(AND(C251&gt;"",_xlfn.XLOOKUP(C251,'Master List'!$C:$C,'Master List'!E:E)=0),"NEEDS CASE WEIGHT","")</f>
        <v/>
      </c>
    </row>
    <row r="252" spans="1:4" x14ac:dyDescent="0.2">
      <c r="A252" s="12"/>
      <c r="B252" s="13"/>
      <c r="C252" s="19"/>
      <c r="D252" s="6" t="str">
        <f>IF(AND(C252&gt;"",_xlfn.XLOOKUP(C252,'Master List'!$C:$C,'Master List'!E:E)=0),"NEEDS CASE WEIGHT","")</f>
        <v/>
      </c>
    </row>
    <row r="253" spans="1:4" x14ac:dyDescent="0.2">
      <c r="A253" s="12"/>
      <c r="B253" s="13"/>
      <c r="C253" s="19"/>
      <c r="D253" s="6" t="str">
        <f>IF(AND(C253&gt;"",_xlfn.XLOOKUP(C253,'Master List'!$C:$C,'Master List'!E:E)=0),"NEEDS CASE WEIGHT","")</f>
        <v/>
      </c>
    </row>
    <row r="254" spans="1:4" x14ac:dyDescent="0.2">
      <c r="A254" s="12"/>
      <c r="B254" s="13"/>
      <c r="C254" s="19"/>
      <c r="D254" s="6" t="str">
        <f>IF(AND(C254&gt;"",_xlfn.XLOOKUP(C254,'Master List'!$C:$C,'Master List'!E:E)=0),"NEEDS CASE WEIGHT","")</f>
        <v/>
      </c>
    </row>
    <row r="255" spans="1:4" x14ac:dyDescent="0.2">
      <c r="A255" s="12"/>
      <c r="B255" s="13"/>
      <c r="C255" s="19"/>
      <c r="D255" s="6" t="str">
        <f>IF(AND(C255&gt;"",_xlfn.XLOOKUP(C255,'Master List'!$C:$C,'Master List'!E:E)=0),"NEEDS CASE WEIGHT","")</f>
        <v/>
      </c>
    </row>
    <row r="256" spans="1:4" x14ac:dyDescent="0.2">
      <c r="A256" s="12"/>
      <c r="B256" s="13"/>
      <c r="C256" s="19"/>
      <c r="D256" s="6" t="str">
        <f>IF(AND(C256&gt;"",_xlfn.XLOOKUP(C256,'Master List'!$C:$C,'Master List'!E:E)=0),"NEEDS CASE WEIGHT","")</f>
        <v/>
      </c>
    </row>
    <row r="257" spans="1:4" x14ac:dyDescent="0.2">
      <c r="A257" s="12"/>
      <c r="B257" s="13"/>
      <c r="C257" s="19"/>
      <c r="D257" s="6" t="str">
        <f>IF(AND(C257&gt;"",_xlfn.XLOOKUP(C257,'Master List'!$C:$C,'Master List'!E:E)=0),"NEEDS CASE WEIGHT","")</f>
        <v/>
      </c>
    </row>
    <row r="258" spans="1:4" x14ac:dyDescent="0.2">
      <c r="A258" s="12"/>
      <c r="B258" s="13"/>
      <c r="C258" s="19"/>
      <c r="D258" s="6" t="str">
        <f>IF(AND(C258&gt;"",_xlfn.XLOOKUP(C258,'Master List'!$C:$C,'Master List'!E:E)=0),"NEEDS CASE WEIGHT","")</f>
        <v/>
      </c>
    </row>
    <row r="259" spans="1:4" x14ac:dyDescent="0.2">
      <c r="A259" s="12"/>
      <c r="B259" s="13"/>
      <c r="C259" s="19"/>
      <c r="D259" s="6" t="str">
        <f>IF(AND(C259&gt;"",_xlfn.XLOOKUP(C259,'Master List'!$C:$C,'Master List'!E:E)=0),"NEEDS CASE WEIGHT","")</f>
        <v/>
      </c>
    </row>
    <row r="260" spans="1:4" x14ac:dyDescent="0.2">
      <c r="A260" s="12"/>
      <c r="B260" s="13"/>
      <c r="C260" s="19"/>
      <c r="D260" s="6" t="str">
        <f>IF(AND(C260&gt;"",_xlfn.XLOOKUP(C260,'Master List'!$C:$C,'Master List'!E:E)=0),"NEEDS CASE WEIGHT","")</f>
        <v/>
      </c>
    </row>
    <row r="261" spans="1:4" x14ac:dyDescent="0.2">
      <c r="A261" s="12"/>
      <c r="B261" s="13"/>
      <c r="C261" s="19"/>
      <c r="D261" s="6" t="str">
        <f>IF(AND(C261&gt;"",_xlfn.XLOOKUP(C261,'Master List'!$C:$C,'Master List'!E:E)=0),"NEEDS CASE WEIGHT","")</f>
        <v/>
      </c>
    </row>
    <row r="262" spans="1:4" x14ac:dyDescent="0.2">
      <c r="A262" s="12"/>
      <c r="B262" s="13"/>
      <c r="C262" s="19"/>
      <c r="D262" s="6" t="str">
        <f>IF(AND(C262&gt;"",_xlfn.XLOOKUP(C262,'Master List'!$C:$C,'Master List'!E:E)=0),"NEEDS CASE WEIGHT","")</f>
        <v/>
      </c>
    </row>
    <row r="263" spans="1:4" x14ac:dyDescent="0.2">
      <c r="A263" s="12"/>
      <c r="B263" s="13"/>
      <c r="C263" s="19"/>
      <c r="D263" s="6" t="str">
        <f>IF(AND(C263&gt;"",_xlfn.XLOOKUP(C263,'Master List'!$C:$C,'Master List'!E:E)=0),"NEEDS CASE WEIGHT","")</f>
        <v/>
      </c>
    </row>
    <row r="264" spans="1:4" x14ac:dyDescent="0.2">
      <c r="A264" s="12"/>
      <c r="B264" s="13"/>
      <c r="C264" s="19"/>
      <c r="D264" s="6" t="str">
        <f>IF(AND(C264&gt;"",_xlfn.XLOOKUP(C264,'Master List'!$C:$C,'Master List'!E:E)=0),"NEEDS CASE WEIGHT","")</f>
        <v/>
      </c>
    </row>
    <row r="265" spans="1:4" x14ac:dyDescent="0.2">
      <c r="A265" s="12"/>
      <c r="B265" s="13"/>
      <c r="C265" s="19"/>
      <c r="D265" s="6" t="str">
        <f>IF(AND(C265&gt;"",_xlfn.XLOOKUP(C265,'Master List'!$C:$C,'Master List'!E:E)=0),"NEEDS CASE WEIGHT","")</f>
        <v/>
      </c>
    </row>
    <row r="266" spans="1:4" x14ac:dyDescent="0.2">
      <c r="A266" s="12"/>
      <c r="B266" s="13"/>
      <c r="C266" s="19"/>
      <c r="D266" s="6" t="str">
        <f>IF(AND(C266&gt;"",_xlfn.XLOOKUP(C266,'Master List'!$C:$C,'Master List'!E:E)=0),"NEEDS CASE WEIGHT","")</f>
        <v/>
      </c>
    </row>
    <row r="267" spans="1:4" x14ac:dyDescent="0.2">
      <c r="A267" s="12"/>
      <c r="B267" s="13"/>
      <c r="C267" s="19"/>
      <c r="D267" s="6" t="str">
        <f>IF(AND(C267&gt;"",_xlfn.XLOOKUP(C267,'Master List'!$C:$C,'Master List'!E:E)=0),"NEEDS CASE WEIGHT","")</f>
        <v/>
      </c>
    </row>
    <row r="268" spans="1:4" x14ac:dyDescent="0.2">
      <c r="A268" s="12"/>
      <c r="B268" s="13"/>
      <c r="C268" s="19"/>
      <c r="D268" s="6" t="str">
        <f>IF(AND(C268&gt;"",_xlfn.XLOOKUP(C268,'Master List'!$C:$C,'Master List'!E:E)=0),"NEEDS CASE WEIGHT","")</f>
        <v/>
      </c>
    </row>
    <row r="269" spans="1:4" x14ac:dyDescent="0.2">
      <c r="A269" s="12"/>
      <c r="B269" s="13"/>
      <c r="C269" s="19"/>
      <c r="D269" s="6" t="str">
        <f>IF(AND(C269&gt;"",_xlfn.XLOOKUP(C269,'Master List'!$C:$C,'Master List'!E:E)=0),"NEEDS CASE WEIGHT","")</f>
        <v/>
      </c>
    </row>
    <row r="270" spans="1:4" x14ac:dyDescent="0.2">
      <c r="A270" s="12"/>
      <c r="B270" s="13"/>
      <c r="C270" s="19"/>
      <c r="D270" s="6" t="str">
        <f>IF(AND(C270&gt;"",_xlfn.XLOOKUP(C270,'Master List'!$C:$C,'Master List'!E:E)=0),"NEEDS CASE WEIGHT","")</f>
        <v/>
      </c>
    </row>
    <row r="271" spans="1:4" x14ac:dyDescent="0.2">
      <c r="A271" s="12"/>
      <c r="B271" s="13"/>
      <c r="C271" s="19"/>
      <c r="D271" s="6" t="str">
        <f>IF(AND(C271&gt;"",_xlfn.XLOOKUP(C271,'Master List'!$C:$C,'Master List'!E:E)=0),"NEEDS CASE WEIGHT","")</f>
        <v/>
      </c>
    </row>
    <row r="272" spans="1:4" x14ac:dyDescent="0.2">
      <c r="A272" s="12"/>
      <c r="B272" s="13"/>
      <c r="C272" s="19"/>
      <c r="D272" s="6" t="str">
        <f>IF(AND(C272&gt;"",_xlfn.XLOOKUP(C272,'Master List'!$C:$C,'Master List'!E:E)=0),"NEEDS CASE WEIGHT","")</f>
        <v/>
      </c>
    </row>
    <row r="273" spans="1:4" x14ac:dyDescent="0.2">
      <c r="A273" s="12"/>
      <c r="B273" s="13"/>
      <c r="C273" s="19"/>
      <c r="D273" s="6" t="str">
        <f>IF(AND(C273&gt;"",_xlfn.XLOOKUP(C273,'Master List'!$C:$C,'Master List'!E:E)=0),"NEEDS CASE WEIGHT","")</f>
        <v/>
      </c>
    </row>
    <row r="274" spans="1:4" x14ac:dyDescent="0.2">
      <c r="A274" s="12"/>
      <c r="B274" s="13"/>
      <c r="C274" s="19"/>
      <c r="D274" s="6" t="str">
        <f>IF(AND(C274&gt;"",_xlfn.XLOOKUP(C274,'Master List'!$C:$C,'Master List'!E:E)=0),"NEEDS CASE WEIGHT","")</f>
        <v/>
      </c>
    </row>
    <row r="275" spans="1:4" x14ac:dyDescent="0.2">
      <c r="A275" s="12"/>
      <c r="B275" s="13"/>
      <c r="C275" s="19"/>
      <c r="D275" s="6" t="str">
        <f>IF(AND(C275&gt;"",_xlfn.XLOOKUP(C275,'Master List'!$C:$C,'Master List'!E:E)=0),"NEEDS CASE WEIGHT","")</f>
        <v/>
      </c>
    </row>
    <row r="276" spans="1:4" x14ac:dyDescent="0.2">
      <c r="A276" s="12"/>
      <c r="B276" s="13"/>
      <c r="C276" s="19"/>
      <c r="D276" s="6" t="str">
        <f>IF(AND(C276&gt;"",_xlfn.XLOOKUP(C276,'Master List'!$C:$C,'Master List'!E:E)=0),"NEEDS CASE WEIGHT","")</f>
        <v/>
      </c>
    </row>
    <row r="277" spans="1:4" x14ac:dyDescent="0.2">
      <c r="A277" s="12"/>
      <c r="B277" s="13"/>
      <c r="C277" s="19"/>
      <c r="D277" s="6" t="str">
        <f>IF(AND(C277&gt;"",_xlfn.XLOOKUP(C277,'Master List'!$C:$C,'Master List'!E:E)=0),"NEEDS CASE WEIGHT","")</f>
        <v/>
      </c>
    </row>
    <row r="278" spans="1:4" x14ac:dyDescent="0.2">
      <c r="A278" s="12"/>
      <c r="B278" s="13"/>
      <c r="C278" s="19"/>
      <c r="D278" s="6" t="str">
        <f>IF(AND(C278&gt;"",_xlfn.XLOOKUP(C278,'Master List'!$C:$C,'Master List'!E:E)=0),"NEEDS CASE WEIGHT","")</f>
        <v/>
      </c>
    </row>
    <row r="279" spans="1:4" x14ac:dyDescent="0.2">
      <c r="A279" s="12"/>
      <c r="B279" s="13"/>
      <c r="C279" s="19"/>
      <c r="D279" s="6" t="str">
        <f>IF(AND(C279&gt;"",_xlfn.XLOOKUP(C279,'Master List'!$C:$C,'Master List'!E:E)=0),"NEEDS CASE WEIGHT","")</f>
        <v/>
      </c>
    </row>
    <row r="280" spans="1:4" x14ac:dyDescent="0.2">
      <c r="A280" s="12"/>
      <c r="B280" s="13"/>
      <c r="C280" s="19"/>
      <c r="D280" s="6" t="str">
        <f>IF(AND(C280&gt;"",_xlfn.XLOOKUP(C280,'Master List'!$C:$C,'Master List'!E:E)=0),"NEEDS CASE WEIGHT","")</f>
        <v/>
      </c>
    </row>
    <row r="281" spans="1:4" x14ac:dyDescent="0.2">
      <c r="A281" s="12"/>
      <c r="B281" s="13"/>
      <c r="C281" s="19"/>
      <c r="D281" s="6" t="str">
        <f>IF(AND(C281&gt;"",_xlfn.XLOOKUP(C281,'Master List'!$C:$C,'Master List'!E:E)=0),"NEEDS CASE WEIGHT","")</f>
        <v/>
      </c>
    </row>
    <row r="282" spans="1:4" x14ac:dyDescent="0.2">
      <c r="A282" s="12"/>
      <c r="B282" s="13"/>
      <c r="C282" s="19"/>
      <c r="D282" s="6" t="str">
        <f>IF(AND(C282&gt;"",_xlfn.XLOOKUP(C282,'Master List'!$C:$C,'Master List'!E:E)=0),"NEEDS CASE WEIGHT","")</f>
        <v/>
      </c>
    </row>
    <row r="283" spans="1:4" x14ac:dyDescent="0.2">
      <c r="A283" s="12"/>
      <c r="B283" s="13"/>
      <c r="C283" s="19"/>
      <c r="D283" s="6" t="str">
        <f>IF(AND(C283&gt;"",_xlfn.XLOOKUP(C283,'Master List'!$C:$C,'Master List'!E:E)=0),"NEEDS CASE WEIGHT","")</f>
        <v/>
      </c>
    </row>
    <row r="284" spans="1:4" x14ac:dyDescent="0.2">
      <c r="A284" s="12"/>
      <c r="B284" s="13"/>
      <c r="C284" s="19"/>
      <c r="D284" s="6" t="str">
        <f>IF(AND(C284&gt;"",_xlfn.XLOOKUP(C284,'Master List'!$C:$C,'Master List'!E:E)=0),"NEEDS CASE WEIGHT","")</f>
        <v/>
      </c>
    </row>
    <row r="285" spans="1:4" x14ac:dyDescent="0.2">
      <c r="A285" s="12"/>
      <c r="B285" s="13"/>
      <c r="C285" s="19"/>
      <c r="D285" s="6" t="str">
        <f>IF(AND(C285&gt;"",_xlfn.XLOOKUP(C285,'Master List'!$C:$C,'Master List'!E:E)=0),"NEEDS CASE WEIGHT","")</f>
        <v/>
      </c>
    </row>
    <row r="286" spans="1:4" x14ac:dyDescent="0.2">
      <c r="A286" s="12"/>
      <c r="B286" s="13"/>
      <c r="C286" s="19"/>
      <c r="D286" s="6" t="str">
        <f>IF(AND(C286&gt;"",_xlfn.XLOOKUP(C286,'Master List'!$C:$C,'Master List'!E:E)=0),"NEEDS CASE WEIGHT","")</f>
        <v/>
      </c>
    </row>
    <row r="287" spans="1:4" x14ac:dyDescent="0.2">
      <c r="A287" s="12"/>
      <c r="B287" s="13"/>
      <c r="C287" s="19"/>
      <c r="D287" s="6" t="str">
        <f>IF(AND(C287&gt;"",_xlfn.XLOOKUP(C287,'Master List'!$C:$C,'Master List'!E:E)=0),"NEEDS CASE WEIGHT","")</f>
        <v/>
      </c>
    </row>
    <row r="288" spans="1:4" x14ac:dyDescent="0.2">
      <c r="A288" s="12"/>
      <c r="B288" s="13"/>
      <c r="C288" s="19"/>
      <c r="D288" s="6" t="str">
        <f>IF(AND(C288&gt;"",_xlfn.XLOOKUP(C288,'Master List'!$C:$C,'Master List'!E:E)=0),"NEEDS CASE WEIGHT","")</f>
        <v/>
      </c>
    </row>
    <row r="289" spans="1:4" x14ac:dyDescent="0.2">
      <c r="A289" s="12"/>
      <c r="B289" s="13"/>
      <c r="C289" s="19"/>
      <c r="D289" s="6" t="str">
        <f>IF(AND(C289&gt;"",_xlfn.XLOOKUP(C289,'Master List'!$C:$C,'Master List'!E:E)=0),"NEEDS CASE WEIGHT","")</f>
        <v/>
      </c>
    </row>
    <row r="290" spans="1:4" x14ac:dyDescent="0.2">
      <c r="A290" s="12"/>
      <c r="B290" s="13"/>
      <c r="C290" s="19"/>
      <c r="D290" s="6" t="str">
        <f>IF(AND(C290&gt;"",_xlfn.XLOOKUP(C290,'Master List'!$C:$C,'Master List'!E:E)=0),"NEEDS CASE WEIGHT","")</f>
        <v/>
      </c>
    </row>
    <row r="291" spans="1:4" x14ac:dyDescent="0.2">
      <c r="A291" s="12"/>
      <c r="B291" s="13"/>
      <c r="C291" s="19"/>
      <c r="D291" s="6" t="str">
        <f>IF(AND(C291&gt;"",_xlfn.XLOOKUP(C291,'Master List'!$C:$C,'Master List'!E:E)=0),"NEEDS CASE WEIGHT","")</f>
        <v/>
      </c>
    </row>
    <row r="292" spans="1:4" x14ac:dyDescent="0.2">
      <c r="A292" s="12"/>
      <c r="B292" s="13"/>
      <c r="C292" s="19"/>
      <c r="D292" s="6" t="str">
        <f>IF(AND(C292&gt;"",_xlfn.XLOOKUP(C292,'Master List'!$C:$C,'Master List'!E:E)=0),"NEEDS CASE WEIGHT","")</f>
        <v/>
      </c>
    </row>
    <row r="293" spans="1:4" x14ac:dyDescent="0.2">
      <c r="A293" s="12"/>
      <c r="B293" s="13"/>
      <c r="C293" s="19"/>
      <c r="D293" s="6" t="str">
        <f>IF(AND(C293&gt;"",_xlfn.XLOOKUP(C293,'Master List'!$C:$C,'Master List'!E:E)=0),"NEEDS CASE WEIGHT","")</f>
        <v/>
      </c>
    </row>
    <row r="294" spans="1:4" x14ac:dyDescent="0.2">
      <c r="A294" s="12"/>
      <c r="B294" s="13"/>
      <c r="C294" s="19"/>
      <c r="D294" s="6" t="str">
        <f>IF(AND(C294&gt;"",_xlfn.XLOOKUP(C294,'Master List'!$C:$C,'Master List'!E:E)=0),"NEEDS CASE WEIGHT","")</f>
        <v/>
      </c>
    </row>
    <row r="295" spans="1:4" x14ac:dyDescent="0.2">
      <c r="A295" s="12"/>
      <c r="B295" s="13"/>
      <c r="C295" s="19"/>
      <c r="D295" s="6" t="str">
        <f>IF(AND(C295&gt;"",_xlfn.XLOOKUP(C295,'Master List'!$C:$C,'Master List'!E:E)=0),"NEEDS CASE WEIGHT","")</f>
        <v/>
      </c>
    </row>
    <row r="296" spans="1:4" x14ac:dyDescent="0.2">
      <c r="A296" s="12"/>
      <c r="B296" s="13"/>
      <c r="C296" s="19"/>
      <c r="D296" s="6" t="str">
        <f>IF(AND(C296&gt;"",_xlfn.XLOOKUP(C296,'Master List'!$C:$C,'Master List'!E:E)=0),"NEEDS CASE WEIGHT","")</f>
        <v/>
      </c>
    </row>
    <row r="297" spans="1:4" x14ac:dyDescent="0.2">
      <c r="A297" s="12"/>
      <c r="B297" s="13"/>
      <c r="C297" s="19"/>
      <c r="D297" s="6" t="str">
        <f>IF(AND(C297&gt;"",_xlfn.XLOOKUP(C297,'Master List'!$C:$C,'Master List'!E:E)=0),"NEEDS CASE WEIGHT","")</f>
        <v/>
      </c>
    </row>
    <row r="298" spans="1:4" x14ac:dyDescent="0.2">
      <c r="A298" s="12"/>
      <c r="B298" s="13"/>
      <c r="C298" s="19"/>
      <c r="D298" s="6" t="str">
        <f>IF(AND(C298&gt;"",_xlfn.XLOOKUP(C298,'Master List'!$C:$C,'Master List'!E:E)=0),"NEEDS CASE WEIGHT","")</f>
        <v/>
      </c>
    </row>
    <row r="299" spans="1:4" x14ac:dyDescent="0.2">
      <c r="A299" s="12"/>
      <c r="B299" s="13"/>
      <c r="C299" s="19"/>
      <c r="D299" s="6" t="str">
        <f>IF(AND(C299&gt;"",_xlfn.XLOOKUP(C299,'Master List'!$C:$C,'Master List'!E:E)=0),"NEEDS CASE WEIGHT","")</f>
        <v/>
      </c>
    </row>
    <row r="300" spans="1:4" x14ac:dyDescent="0.2">
      <c r="A300" s="12"/>
      <c r="B300" s="13"/>
      <c r="C300" s="19"/>
      <c r="D300" s="6" t="str">
        <f>IF(AND(C300&gt;"",_xlfn.XLOOKUP(C300,'Master List'!$C:$C,'Master List'!E:E)=0),"NEEDS CASE WEIGHT","")</f>
        <v/>
      </c>
    </row>
    <row r="301" spans="1:4" x14ac:dyDescent="0.2">
      <c r="A301" s="12"/>
      <c r="B301" s="13"/>
      <c r="C301" s="19"/>
      <c r="D301" s="6" t="str">
        <f>IF(AND(C301&gt;"",_xlfn.XLOOKUP(C301,'Master List'!$C:$C,'Master List'!E:E)=0),"NEEDS CASE WEIGHT","")</f>
        <v/>
      </c>
    </row>
    <row r="302" spans="1:4" x14ac:dyDescent="0.2">
      <c r="A302" s="12"/>
      <c r="B302" s="13"/>
      <c r="C302" s="19"/>
      <c r="D302" s="6" t="str">
        <f>IF(AND(C302&gt;"",_xlfn.XLOOKUP(C302,'Master List'!$C:$C,'Master List'!E:E)=0),"NEEDS CASE WEIGHT","")</f>
        <v/>
      </c>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sortState xmlns:xlrd2="http://schemas.microsoft.com/office/spreadsheetml/2017/richdata2" ref="A4:C17">
    <sortCondition ref="C4:C17"/>
  </sortState>
  <conditionalFormatting sqref="B3:B1048576">
    <cfRule type="expression" dxfId="0" priority="2">
      <formula>AND(B3&gt;"",B3&lt;&gt;"Pound")</formula>
    </cfRule>
  </conditionalFormatting>
  <pageMargins left="0.7" right="0.7" top="0.75" bottom="0.75" header="0.3" footer="0.3"/>
  <pageSetup scale="1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E6" sqref="E6"/>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1</v>
      </c>
      <c r="B1" t="s">
        <v>13</v>
      </c>
      <c r="C1" t="s">
        <v>146</v>
      </c>
      <c r="D1" s="57" t="s">
        <v>1252</v>
      </c>
      <c r="E1" s="25" t="s">
        <v>1400</v>
      </c>
    </row>
    <row r="2" spans="1:5" x14ac:dyDescent="0.2">
      <c r="A2">
        <v>1</v>
      </c>
      <c r="B2" t="s">
        <v>13</v>
      </c>
      <c r="C2" t="s">
        <v>190</v>
      </c>
      <c r="E2" s="25" t="s">
        <v>1209</v>
      </c>
    </row>
    <row r="3" spans="1:5" x14ac:dyDescent="0.2">
      <c r="A3">
        <v>1</v>
      </c>
      <c r="B3" t="s">
        <v>13</v>
      </c>
      <c r="C3" t="s">
        <v>190</v>
      </c>
      <c r="D3" s="25"/>
      <c r="E3" s="25" t="s">
        <v>1283</v>
      </c>
    </row>
    <row r="4" spans="1:5" x14ac:dyDescent="0.2">
      <c r="A4">
        <v>1</v>
      </c>
      <c r="B4" t="s">
        <v>13</v>
      </c>
      <c r="C4" t="s">
        <v>190</v>
      </c>
      <c r="D4"/>
      <c r="E4"/>
    </row>
    <row r="5" spans="1:5" x14ac:dyDescent="0.2">
      <c r="A5">
        <v>1</v>
      </c>
      <c r="B5" t="s">
        <v>13</v>
      </c>
      <c r="C5" t="s">
        <v>190</v>
      </c>
      <c r="D5"/>
      <c r="E5"/>
    </row>
    <row r="6" spans="1:5" x14ac:dyDescent="0.2">
      <c r="A6">
        <v>1</v>
      </c>
      <c r="B6" t="s">
        <v>13</v>
      </c>
      <c r="C6" t="s">
        <v>190</v>
      </c>
      <c r="D6"/>
      <c r="E6"/>
    </row>
    <row r="7" spans="1:5" x14ac:dyDescent="0.2">
      <c r="A7">
        <v>0.5</v>
      </c>
      <c r="B7" t="s">
        <v>13</v>
      </c>
      <c r="C7" t="s">
        <v>190</v>
      </c>
      <c r="E7"/>
    </row>
    <row r="8" spans="1:5" x14ac:dyDescent="0.2">
      <c r="A8">
        <v>0.5</v>
      </c>
      <c r="B8" t="s">
        <v>13</v>
      </c>
      <c r="C8" t="s">
        <v>223</v>
      </c>
      <c r="D8"/>
      <c r="E8"/>
    </row>
    <row r="9" spans="1:5" x14ac:dyDescent="0.2">
      <c r="A9">
        <v>1</v>
      </c>
      <c r="B9" t="s">
        <v>13</v>
      </c>
      <c r="C9" t="s">
        <v>243</v>
      </c>
      <c r="D9"/>
      <c r="E9"/>
    </row>
    <row r="10" spans="1:5" x14ac:dyDescent="0.2">
      <c r="A10">
        <v>0.5</v>
      </c>
      <c r="B10" t="s">
        <v>13</v>
      </c>
      <c r="C10" t="s">
        <v>243</v>
      </c>
      <c r="D10"/>
      <c r="E10"/>
    </row>
    <row r="11" spans="1:5" x14ac:dyDescent="0.2">
      <c r="A11">
        <v>0.5</v>
      </c>
      <c r="B11" t="s">
        <v>13</v>
      </c>
      <c r="C11" t="s">
        <v>271</v>
      </c>
      <c r="D11"/>
      <c r="E11"/>
    </row>
    <row r="12" spans="1:5" x14ac:dyDescent="0.2">
      <c r="A12">
        <v>5</v>
      </c>
      <c r="B12" t="s">
        <v>20</v>
      </c>
      <c r="C12" t="s">
        <v>1102</v>
      </c>
      <c r="D12"/>
      <c r="E12"/>
    </row>
    <row r="13" spans="1:5" x14ac:dyDescent="0.2">
      <c r="A13">
        <v>40</v>
      </c>
      <c r="B13" t="s">
        <v>20</v>
      </c>
      <c r="C13" t="s">
        <v>468</v>
      </c>
      <c r="D13" s="25"/>
      <c r="E13"/>
    </row>
    <row r="14" spans="1:5" x14ac:dyDescent="0.2">
      <c r="A14">
        <v>25</v>
      </c>
      <c r="B14" t="s">
        <v>20</v>
      </c>
      <c r="C14" t="s">
        <v>468</v>
      </c>
      <c r="D14"/>
      <c r="E14"/>
    </row>
    <row r="15" spans="1:5" x14ac:dyDescent="0.2">
      <c r="A15">
        <v>1</v>
      </c>
      <c r="B15" t="s">
        <v>13</v>
      </c>
      <c r="C15" t="s">
        <v>581</v>
      </c>
      <c r="D15"/>
      <c r="E15"/>
    </row>
    <row r="16" spans="1:5" x14ac:dyDescent="0.2">
      <c r="A16">
        <v>0.5</v>
      </c>
      <c r="B16" t="s">
        <v>13</v>
      </c>
      <c r="C16" t="s">
        <v>631</v>
      </c>
      <c r="D16"/>
      <c r="E16"/>
    </row>
    <row r="17" spans="1:9" x14ac:dyDescent="0.2">
      <c r="A17">
        <v>1</v>
      </c>
      <c r="B17" t="s">
        <v>26</v>
      </c>
      <c r="C17" t="s">
        <v>779</v>
      </c>
      <c r="D17"/>
      <c r="E17"/>
    </row>
    <row r="18" spans="1:9" x14ac:dyDescent="0.2">
      <c r="A18">
        <v>15</v>
      </c>
      <c r="B18" t="s">
        <v>41</v>
      </c>
      <c r="C18" t="s">
        <v>834</v>
      </c>
      <c r="D18"/>
      <c r="E18"/>
    </row>
    <row r="19" spans="1:9" x14ac:dyDescent="0.2">
      <c r="A19">
        <v>1</v>
      </c>
      <c r="B19" t="s">
        <v>13</v>
      </c>
      <c r="C19" t="s">
        <v>945</v>
      </c>
      <c r="D19"/>
      <c r="E19"/>
    </row>
    <row r="20" spans="1:9" x14ac:dyDescent="0.2">
      <c r="A20">
        <v>1</v>
      </c>
      <c r="B20" t="s">
        <v>13</v>
      </c>
      <c r="C20" t="s">
        <v>945</v>
      </c>
      <c r="D20"/>
      <c r="E20"/>
    </row>
    <row r="21" spans="1:9" x14ac:dyDescent="0.2">
      <c r="B21" t="s">
        <v>20</v>
      </c>
      <c r="C21" t="s">
        <v>988</v>
      </c>
      <c r="D21"/>
      <c r="E21" s="56"/>
    </row>
    <row r="22" spans="1:9" x14ac:dyDescent="0.2">
      <c r="B22" t="s">
        <v>20</v>
      </c>
      <c r="C22" t="s">
        <v>988</v>
      </c>
      <c r="D22"/>
      <c r="E22"/>
    </row>
    <row r="23" spans="1:9" x14ac:dyDescent="0.2">
      <c r="B23" t="s">
        <v>20</v>
      </c>
      <c r="C23" t="s">
        <v>988</v>
      </c>
      <c r="D23" s="25"/>
      <c r="E23"/>
    </row>
    <row r="24" spans="1:9" x14ac:dyDescent="0.2">
      <c r="B24" t="s">
        <v>20</v>
      </c>
      <c r="C24" t="s">
        <v>988</v>
      </c>
      <c r="D24"/>
      <c r="E24"/>
    </row>
    <row r="25" spans="1:9" x14ac:dyDescent="0.2">
      <c r="B25" t="s">
        <v>20</v>
      </c>
      <c r="C25" t="s">
        <v>988</v>
      </c>
      <c r="D25"/>
      <c r="E25"/>
    </row>
    <row r="26" spans="1:9" x14ac:dyDescent="0.2">
      <c r="B26" t="s">
        <v>20</v>
      </c>
      <c r="C26" t="s">
        <v>988</v>
      </c>
      <c r="E26"/>
    </row>
    <row r="27" spans="1:9" x14ac:dyDescent="0.2">
      <c r="B27" t="s">
        <v>20</v>
      </c>
      <c r="C27" t="s">
        <v>988</v>
      </c>
      <c r="D27"/>
      <c r="E27"/>
    </row>
    <row r="28" spans="1:9" x14ac:dyDescent="0.2">
      <c r="A28">
        <v>1</v>
      </c>
      <c r="B28" t="s">
        <v>13</v>
      </c>
      <c r="C28" t="s">
        <v>1003</v>
      </c>
      <c r="D28"/>
      <c r="E28"/>
    </row>
    <row r="29" spans="1:9" x14ac:dyDescent="0.2">
      <c r="B29"/>
      <c r="C29"/>
      <c r="D29"/>
      <c r="E29"/>
    </row>
    <row r="30" spans="1:9" x14ac:dyDescent="0.2">
      <c r="B30"/>
      <c r="C30"/>
      <c r="D30"/>
      <c r="E30"/>
      <c r="I30" s="26" t="s">
        <v>1209</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5F7F1-382D-4487-B6F7-0B0E1BCB7929}">
  <sheetPr codeName="Sheet2"/>
  <dimension ref="A1:F413"/>
  <sheetViews>
    <sheetView workbookViewId="0"/>
  </sheetViews>
  <sheetFormatPr defaultRowHeight="12.75" x14ac:dyDescent="0.2"/>
  <cols>
    <col min="1" max="1" width="35.6640625" bestFit="1" customWidth="1"/>
    <col min="2" max="2" width="11.6640625" customWidth="1"/>
    <col min="3" max="3" width="16.1640625" customWidth="1"/>
    <col min="4" max="4" width="27.33203125" bestFit="1" customWidth="1"/>
    <col min="6" max="6" width="35.6640625" bestFit="1" customWidth="1"/>
    <col min="8" max="8" width="9" customWidth="1"/>
  </cols>
  <sheetData>
    <row r="1" spans="1:6" x14ac:dyDescent="0.2">
      <c r="A1" s="25" t="s">
        <v>1196</v>
      </c>
      <c r="B1" s="25" t="s">
        <v>1200</v>
      </c>
      <c r="C1" s="25" t="s">
        <v>1201</v>
      </c>
      <c r="D1" s="25" t="s">
        <v>1197</v>
      </c>
      <c r="F1" s="25" t="s">
        <v>1196</v>
      </c>
    </row>
    <row r="2" spans="1:6" x14ac:dyDescent="0.2">
      <c r="A2" t="s">
        <v>1295</v>
      </c>
      <c r="B2">
        <v>40</v>
      </c>
      <c r="C2" t="s">
        <v>20</v>
      </c>
      <c r="D2" t="s">
        <v>60</v>
      </c>
      <c r="F2" t="s">
        <v>1380</v>
      </c>
    </row>
    <row r="3" spans="1:6" x14ac:dyDescent="0.2">
      <c r="A3" t="s">
        <v>1295</v>
      </c>
      <c r="B3">
        <v>20</v>
      </c>
      <c r="C3" t="s">
        <v>20</v>
      </c>
      <c r="D3" t="s">
        <v>146</v>
      </c>
      <c r="F3" t="s">
        <v>1295</v>
      </c>
    </row>
    <row r="4" spans="1:6" x14ac:dyDescent="0.2">
      <c r="A4" t="s">
        <v>1295</v>
      </c>
      <c r="B4">
        <v>10</v>
      </c>
      <c r="C4" t="s">
        <v>20</v>
      </c>
      <c r="D4" t="s">
        <v>183</v>
      </c>
      <c r="F4" t="s">
        <v>1394</v>
      </c>
    </row>
    <row r="5" spans="1:6" x14ac:dyDescent="0.2">
      <c r="A5" t="s">
        <v>1295</v>
      </c>
      <c r="B5">
        <v>10</v>
      </c>
      <c r="C5" t="s">
        <v>20</v>
      </c>
      <c r="D5" t="s">
        <v>190</v>
      </c>
      <c r="F5" t="s">
        <v>1397</v>
      </c>
    </row>
    <row r="6" spans="1:6" x14ac:dyDescent="0.2">
      <c r="A6" t="s">
        <v>1295</v>
      </c>
      <c r="B6">
        <v>22</v>
      </c>
      <c r="C6" t="s">
        <v>20</v>
      </c>
      <c r="D6" t="s">
        <v>204</v>
      </c>
      <c r="F6" t="s">
        <v>1381</v>
      </c>
    </row>
    <row r="7" spans="1:6" x14ac:dyDescent="0.2">
      <c r="A7" t="s">
        <v>1295</v>
      </c>
      <c r="B7">
        <v>40</v>
      </c>
      <c r="C7" t="s">
        <v>20</v>
      </c>
      <c r="D7" t="s">
        <v>228</v>
      </c>
      <c r="F7" t="s">
        <v>1387</v>
      </c>
    </row>
    <row r="8" spans="1:6" x14ac:dyDescent="0.2">
      <c r="A8" t="s">
        <v>1295</v>
      </c>
      <c r="B8">
        <v>100</v>
      </c>
      <c r="C8" t="s">
        <v>20</v>
      </c>
      <c r="D8" t="s">
        <v>230</v>
      </c>
      <c r="F8" t="s">
        <v>1393</v>
      </c>
    </row>
    <row r="9" spans="1:6" x14ac:dyDescent="0.2">
      <c r="A9" t="s">
        <v>1295</v>
      </c>
      <c r="B9">
        <v>53</v>
      </c>
      <c r="C9" t="s">
        <v>20</v>
      </c>
      <c r="D9" t="s">
        <v>243</v>
      </c>
      <c r="F9" t="s">
        <v>1395</v>
      </c>
    </row>
    <row r="10" spans="1:6" x14ac:dyDescent="0.2">
      <c r="A10" t="s">
        <v>1295</v>
      </c>
      <c r="B10">
        <v>50</v>
      </c>
      <c r="C10" t="s">
        <v>20</v>
      </c>
      <c r="D10" t="s">
        <v>248</v>
      </c>
      <c r="F10" t="s">
        <v>1400</v>
      </c>
    </row>
    <row r="11" spans="1:6" x14ac:dyDescent="0.2">
      <c r="A11" t="s">
        <v>1295</v>
      </c>
      <c r="B11">
        <v>10</v>
      </c>
      <c r="C11" t="s">
        <v>20</v>
      </c>
      <c r="D11" t="s">
        <v>263</v>
      </c>
      <c r="F11" t="s">
        <v>1388</v>
      </c>
    </row>
    <row r="12" spans="1:6" x14ac:dyDescent="0.2">
      <c r="A12" t="s">
        <v>1295</v>
      </c>
      <c r="B12">
        <v>20</v>
      </c>
      <c r="C12" t="s">
        <v>20</v>
      </c>
      <c r="D12" t="s">
        <v>276</v>
      </c>
      <c r="F12" t="s">
        <v>1396</v>
      </c>
    </row>
    <row r="13" spans="1:6" x14ac:dyDescent="0.2">
      <c r="A13" t="s">
        <v>1295</v>
      </c>
      <c r="B13">
        <v>10</v>
      </c>
      <c r="C13" t="s">
        <v>20</v>
      </c>
      <c r="D13" t="s">
        <v>311</v>
      </c>
      <c r="F13" t="s">
        <v>1374</v>
      </c>
    </row>
    <row r="14" spans="1:6" x14ac:dyDescent="0.2">
      <c r="A14" t="s">
        <v>1295</v>
      </c>
      <c r="B14">
        <v>10</v>
      </c>
      <c r="C14" t="s">
        <v>20</v>
      </c>
      <c r="D14" t="s">
        <v>327</v>
      </c>
      <c r="F14" t="s">
        <v>1392</v>
      </c>
    </row>
    <row r="15" spans="1:6" x14ac:dyDescent="0.2">
      <c r="A15" t="s">
        <v>1295</v>
      </c>
      <c r="B15">
        <v>35</v>
      </c>
      <c r="C15" t="s">
        <v>20</v>
      </c>
      <c r="D15" t="s">
        <v>339</v>
      </c>
    </row>
    <row r="16" spans="1:6" x14ac:dyDescent="0.2">
      <c r="A16" t="s">
        <v>1295</v>
      </c>
      <c r="B16">
        <v>10</v>
      </c>
      <c r="C16" t="s">
        <v>20</v>
      </c>
      <c r="D16" t="s">
        <v>371</v>
      </c>
    </row>
    <row r="17" spans="1:4" x14ac:dyDescent="0.2">
      <c r="A17" t="s">
        <v>1295</v>
      </c>
      <c r="B17">
        <v>5</v>
      </c>
      <c r="C17" t="s">
        <v>20</v>
      </c>
      <c r="D17" t="s">
        <v>443</v>
      </c>
    </row>
    <row r="18" spans="1:4" x14ac:dyDescent="0.2">
      <c r="A18" t="s">
        <v>1295</v>
      </c>
      <c r="B18">
        <v>20</v>
      </c>
      <c r="C18" t="s">
        <v>20</v>
      </c>
      <c r="D18" t="s">
        <v>451</v>
      </c>
    </row>
    <row r="19" spans="1:4" x14ac:dyDescent="0.2">
      <c r="A19" t="s">
        <v>1295</v>
      </c>
      <c r="B19">
        <v>25</v>
      </c>
      <c r="C19" t="s">
        <v>20</v>
      </c>
      <c r="D19" t="s">
        <v>555</v>
      </c>
    </row>
    <row r="20" spans="1:4" x14ac:dyDescent="0.2">
      <c r="A20" t="s">
        <v>1295</v>
      </c>
      <c r="B20">
        <v>75</v>
      </c>
      <c r="C20" t="s">
        <v>20</v>
      </c>
      <c r="D20" t="s">
        <v>579</v>
      </c>
    </row>
    <row r="21" spans="1:4" x14ac:dyDescent="0.2">
      <c r="A21" t="s">
        <v>1295</v>
      </c>
      <c r="B21">
        <v>53</v>
      </c>
      <c r="C21" t="s">
        <v>20</v>
      </c>
      <c r="D21" t="s">
        <v>581</v>
      </c>
    </row>
    <row r="22" spans="1:4" x14ac:dyDescent="0.2">
      <c r="A22" t="s">
        <v>1295</v>
      </c>
      <c r="B22">
        <v>7</v>
      </c>
      <c r="C22" t="s">
        <v>20</v>
      </c>
      <c r="D22" t="s">
        <v>642</v>
      </c>
    </row>
    <row r="23" spans="1:4" x14ac:dyDescent="0.2">
      <c r="A23" t="s">
        <v>1295</v>
      </c>
      <c r="B23">
        <v>7</v>
      </c>
      <c r="C23" t="s">
        <v>20</v>
      </c>
      <c r="D23" t="s">
        <v>647</v>
      </c>
    </row>
    <row r="24" spans="1:4" x14ac:dyDescent="0.2">
      <c r="A24" t="s">
        <v>1295</v>
      </c>
      <c r="B24">
        <v>12</v>
      </c>
      <c r="C24" t="s">
        <v>20</v>
      </c>
      <c r="D24" t="s">
        <v>654</v>
      </c>
    </row>
    <row r="25" spans="1:4" x14ac:dyDescent="0.2">
      <c r="A25" t="s">
        <v>1295</v>
      </c>
      <c r="B25">
        <v>12</v>
      </c>
      <c r="C25" t="s">
        <v>20</v>
      </c>
      <c r="D25" t="s">
        <v>676</v>
      </c>
    </row>
    <row r="26" spans="1:4" x14ac:dyDescent="0.2">
      <c r="A26" t="s">
        <v>1295</v>
      </c>
      <c r="B26">
        <v>10</v>
      </c>
      <c r="C26" t="s">
        <v>20</v>
      </c>
      <c r="D26" t="s">
        <v>777</v>
      </c>
    </row>
    <row r="27" spans="1:4" x14ac:dyDescent="0.2">
      <c r="A27" t="s">
        <v>1295</v>
      </c>
      <c r="B27">
        <v>50</v>
      </c>
      <c r="C27" t="s">
        <v>20</v>
      </c>
      <c r="D27" t="s">
        <v>779</v>
      </c>
    </row>
    <row r="28" spans="1:4" x14ac:dyDescent="0.2">
      <c r="A28" t="s">
        <v>1295</v>
      </c>
      <c r="B28">
        <v>40</v>
      </c>
      <c r="C28" t="s">
        <v>20</v>
      </c>
      <c r="D28" t="s">
        <v>889</v>
      </c>
    </row>
    <row r="29" spans="1:4" x14ac:dyDescent="0.2">
      <c r="A29" t="s">
        <v>1295</v>
      </c>
      <c r="B29">
        <v>75</v>
      </c>
      <c r="C29" t="s">
        <v>20</v>
      </c>
      <c r="D29" t="s">
        <v>945</v>
      </c>
    </row>
    <row r="30" spans="1:4" x14ac:dyDescent="0.2">
      <c r="A30" t="s">
        <v>1295</v>
      </c>
      <c r="B30">
        <v>44</v>
      </c>
      <c r="C30" t="s">
        <v>20</v>
      </c>
      <c r="D30" t="s">
        <v>988</v>
      </c>
    </row>
    <row r="31" spans="1:4" x14ac:dyDescent="0.2">
      <c r="A31" t="s">
        <v>1374</v>
      </c>
      <c r="B31">
        <v>80</v>
      </c>
      <c r="C31" t="s">
        <v>20</v>
      </c>
      <c r="D31" t="s">
        <v>100</v>
      </c>
    </row>
    <row r="32" spans="1:4" x14ac:dyDescent="0.2">
      <c r="A32" t="s">
        <v>1374</v>
      </c>
      <c r="B32">
        <v>40</v>
      </c>
      <c r="C32" t="s">
        <v>20</v>
      </c>
      <c r="D32" t="s">
        <v>146</v>
      </c>
    </row>
    <row r="33" spans="1:4" x14ac:dyDescent="0.2">
      <c r="A33" t="s">
        <v>1374</v>
      </c>
      <c r="B33">
        <v>15</v>
      </c>
      <c r="C33" t="s">
        <v>20</v>
      </c>
      <c r="D33" t="s">
        <v>178</v>
      </c>
    </row>
    <row r="34" spans="1:4" x14ac:dyDescent="0.2">
      <c r="A34" t="s">
        <v>1374</v>
      </c>
      <c r="B34">
        <v>20</v>
      </c>
      <c r="C34" t="s">
        <v>20</v>
      </c>
      <c r="D34" t="s">
        <v>183</v>
      </c>
    </row>
    <row r="35" spans="1:4" x14ac:dyDescent="0.2">
      <c r="A35" t="s">
        <v>1374</v>
      </c>
      <c r="B35">
        <v>50</v>
      </c>
      <c r="C35" t="s">
        <v>20</v>
      </c>
      <c r="D35" t="s">
        <v>223</v>
      </c>
    </row>
    <row r="36" spans="1:4" x14ac:dyDescent="0.2">
      <c r="A36" t="s">
        <v>1374</v>
      </c>
      <c r="B36">
        <v>65</v>
      </c>
      <c r="C36" t="s">
        <v>20</v>
      </c>
      <c r="D36" t="s">
        <v>248</v>
      </c>
    </row>
    <row r="37" spans="1:4" x14ac:dyDescent="0.2">
      <c r="A37" t="s">
        <v>1374</v>
      </c>
      <c r="B37">
        <v>65</v>
      </c>
      <c r="C37" t="s">
        <v>20</v>
      </c>
      <c r="D37" t="s">
        <v>263</v>
      </c>
    </row>
    <row r="38" spans="1:4" x14ac:dyDescent="0.2">
      <c r="A38" t="s">
        <v>1374</v>
      </c>
      <c r="B38">
        <v>10</v>
      </c>
      <c r="C38" t="s">
        <v>20</v>
      </c>
      <c r="D38" t="s">
        <v>299</v>
      </c>
    </row>
    <row r="39" spans="1:4" x14ac:dyDescent="0.2">
      <c r="A39" t="s">
        <v>1374</v>
      </c>
      <c r="B39">
        <v>25</v>
      </c>
      <c r="C39" t="s">
        <v>20</v>
      </c>
      <c r="D39" t="s">
        <v>311</v>
      </c>
    </row>
    <row r="40" spans="1:4" x14ac:dyDescent="0.2">
      <c r="A40" t="s">
        <v>1374</v>
      </c>
      <c r="B40">
        <v>20</v>
      </c>
      <c r="C40" t="s">
        <v>20</v>
      </c>
      <c r="D40" t="s">
        <v>327</v>
      </c>
    </row>
    <row r="41" spans="1:4" x14ac:dyDescent="0.2">
      <c r="A41" t="s">
        <v>1374</v>
      </c>
      <c r="B41">
        <v>35</v>
      </c>
      <c r="C41" t="s">
        <v>20</v>
      </c>
      <c r="D41" t="s">
        <v>339</v>
      </c>
    </row>
    <row r="42" spans="1:4" x14ac:dyDescent="0.2">
      <c r="A42" t="s">
        <v>1374</v>
      </c>
      <c r="B42">
        <v>35</v>
      </c>
      <c r="C42" t="s">
        <v>20</v>
      </c>
      <c r="D42" t="s">
        <v>371</v>
      </c>
    </row>
    <row r="43" spans="1:4" x14ac:dyDescent="0.2">
      <c r="A43" t="s">
        <v>1374</v>
      </c>
      <c r="B43">
        <v>18</v>
      </c>
      <c r="C43" t="s">
        <v>20</v>
      </c>
      <c r="D43" t="s">
        <v>393</v>
      </c>
    </row>
    <row r="44" spans="1:4" x14ac:dyDescent="0.2">
      <c r="A44" t="s">
        <v>1374</v>
      </c>
      <c r="B44">
        <v>96</v>
      </c>
      <c r="C44" t="s">
        <v>20</v>
      </c>
      <c r="D44" t="s">
        <v>414</v>
      </c>
    </row>
    <row r="45" spans="1:4" x14ac:dyDescent="0.2">
      <c r="A45" t="s">
        <v>1374</v>
      </c>
      <c r="B45">
        <v>20</v>
      </c>
      <c r="C45" t="s">
        <v>20</v>
      </c>
      <c r="D45" t="s">
        <v>430</v>
      </c>
    </row>
    <row r="46" spans="1:4" x14ac:dyDescent="0.2">
      <c r="A46" t="s">
        <v>1374</v>
      </c>
      <c r="B46">
        <v>20</v>
      </c>
      <c r="C46" t="s">
        <v>20</v>
      </c>
      <c r="D46" t="s">
        <v>448</v>
      </c>
    </row>
    <row r="47" spans="1:4" x14ac:dyDescent="0.2">
      <c r="A47" t="s">
        <v>1374</v>
      </c>
      <c r="B47">
        <v>10</v>
      </c>
      <c r="C47" t="s">
        <v>20</v>
      </c>
      <c r="D47" t="s">
        <v>468</v>
      </c>
    </row>
    <row r="48" spans="1:4" x14ac:dyDescent="0.2">
      <c r="A48" t="s">
        <v>1374</v>
      </c>
      <c r="B48">
        <v>25</v>
      </c>
      <c r="C48" t="s">
        <v>20</v>
      </c>
      <c r="D48" t="s">
        <v>543</v>
      </c>
    </row>
    <row r="49" spans="1:4" x14ac:dyDescent="0.2">
      <c r="A49" t="s">
        <v>1374</v>
      </c>
      <c r="B49">
        <v>401</v>
      </c>
      <c r="C49" t="s">
        <v>20</v>
      </c>
      <c r="D49" t="s">
        <v>555</v>
      </c>
    </row>
    <row r="50" spans="1:4" x14ac:dyDescent="0.2">
      <c r="A50" t="s">
        <v>1374</v>
      </c>
      <c r="B50">
        <v>35</v>
      </c>
      <c r="C50" t="s">
        <v>20</v>
      </c>
      <c r="D50" t="s">
        <v>586</v>
      </c>
    </row>
    <row r="51" spans="1:4" x14ac:dyDescent="0.2">
      <c r="A51" t="s">
        <v>1374</v>
      </c>
      <c r="B51">
        <v>24</v>
      </c>
      <c r="C51" t="s">
        <v>20</v>
      </c>
      <c r="D51" t="s">
        <v>601</v>
      </c>
    </row>
    <row r="52" spans="1:4" x14ac:dyDescent="0.2">
      <c r="A52" t="s">
        <v>1374</v>
      </c>
      <c r="B52">
        <v>60</v>
      </c>
      <c r="C52" t="s">
        <v>20</v>
      </c>
      <c r="D52" t="s">
        <v>631</v>
      </c>
    </row>
    <row r="53" spans="1:4" x14ac:dyDescent="0.2">
      <c r="A53" t="s">
        <v>1374</v>
      </c>
      <c r="B53">
        <v>20</v>
      </c>
      <c r="C53" t="s">
        <v>20</v>
      </c>
      <c r="D53" t="s">
        <v>642</v>
      </c>
    </row>
    <row r="54" spans="1:4" x14ac:dyDescent="0.2">
      <c r="A54" t="s">
        <v>1374</v>
      </c>
      <c r="B54">
        <v>10</v>
      </c>
      <c r="C54" t="s">
        <v>20</v>
      </c>
      <c r="D54" t="s">
        <v>656</v>
      </c>
    </row>
    <row r="55" spans="1:4" x14ac:dyDescent="0.2">
      <c r="A55" t="s">
        <v>1374</v>
      </c>
      <c r="B55">
        <v>50</v>
      </c>
      <c r="C55" t="s">
        <v>20</v>
      </c>
      <c r="D55" t="s">
        <v>745</v>
      </c>
    </row>
    <row r="56" spans="1:4" x14ac:dyDescent="0.2">
      <c r="A56" t="s">
        <v>1374</v>
      </c>
      <c r="B56">
        <v>175</v>
      </c>
      <c r="C56" t="s">
        <v>20</v>
      </c>
      <c r="D56" t="s">
        <v>779</v>
      </c>
    </row>
    <row r="57" spans="1:4" x14ac:dyDescent="0.2">
      <c r="A57" t="s">
        <v>1374</v>
      </c>
      <c r="B57">
        <v>20</v>
      </c>
      <c r="C57" t="s">
        <v>20</v>
      </c>
      <c r="D57" t="s">
        <v>860</v>
      </c>
    </row>
    <row r="58" spans="1:4" x14ac:dyDescent="0.2">
      <c r="A58" t="s">
        <v>1374</v>
      </c>
      <c r="B58">
        <v>25</v>
      </c>
      <c r="C58" t="s">
        <v>20</v>
      </c>
      <c r="D58" t="s">
        <v>922</v>
      </c>
    </row>
    <row r="59" spans="1:4" x14ac:dyDescent="0.2">
      <c r="A59" t="s">
        <v>1374</v>
      </c>
      <c r="B59">
        <v>60</v>
      </c>
      <c r="C59" t="s">
        <v>20</v>
      </c>
      <c r="D59" t="s">
        <v>930</v>
      </c>
    </row>
    <row r="60" spans="1:4" x14ac:dyDescent="0.2">
      <c r="A60" t="s">
        <v>1374</v>
      </c>
      <c r="B60">
        <v>90</v>
      </c>
      <c r="C60" t="s">
        <v>20</v>
      </c>
      <c r="D60" t="s">
        <v>945</v>
      </c>
    </row>
    <row r="61" spans="1:4" x14ac:dyDescent="0.2">
      <c r="A61" t="s">
        <v>1374</v>
      </c>
      <c r="B61">
        <v>88</v>
      </c>
      <c r="C61" t="s">
        <v>20</v>
      </c>
      <c r="D61" t="s">
        <v>988</v>
      </c>
    </row>
    <row r="62" spans="1:4" x14ac:dyDescent="0.2">
      <c r="A62" t="s">
        <v>1374</v>
      </c>
      <c r="B62">
        <v>45</v>
      </c>
      <c r="C62" t="s">
        <v>20</v>
      </c>
      <c r="D62" t="s">
        <v>1003</v>
      </c>
    </row>
    <row r="63" spans="1:4" x14ac:dyDescent="0.2">
      <c r="A63" t="s">
        <v>1380</v>
      </c>
      <c r="B63">
        <v>40</v>
      </c>
      <c r="C63" t="s">
        <v>20</v>
      </c>
      <c r="D63" t="s">
        <v>45</v>
      </c>
    </row>
    <row r="64" spans="1:4" x14ac:dyDescent="0.2">
      <c r="A64" t="s">
        <v>1380</v>
      </c>
      <c r="B64">
        <v>40</v>
      </c>
      <c r="C64" t="s">
        <v>20</v>
      </c>
      <c r="D64" t="s">
        <v>100</v>
      </c>
    </row>
    <row r="65" spans="1:4" x14ac:dyDescent="0.2">
      <c r="A65" t="s">
        <v>1380</v>
      </c>
      <c r="B65">
        <v>40</v>
      </c>
      <c r="C65" t="s">
        <v>20</v>
      </c>
      <c r="D65" t="s">
        <v>146</v>
      </c>
    </row>
    <row r="66" spans="1:4" x14ac:dyDescent="0.2">
      <c r="A66" t="s">
        <v>1380</v>
      </c>
      <c r="B66">
        <v>10</v>
      </c>
      <c r="C66" t="s">
        <v>20</v>
      </c>
      <c r="D66" t="s">
        <v>172</v>
      </c>
    </row>
    <row r="67" spans="1:4" x14ac:dyDescent="0.2">
      <c r="A67" t="s">
        <v>1380</v>
      </c>
      <c r="B67">
        <v>40</v>
      </c>
      <c r="C67" t="s">
        <v>20</v>
      </c>
      <c r="D67" t="s">
        <v>190</v>
      </c>
    </row>
    <row r="68" spans="1:4" x14ac:dyDescent="0.2">
      <c r="A68" t="s">
        <v>1380</v>
      </c>
      <c r="B68">
        <v>22</v>
      </c>
      <c r="C68" t="s">
        <v>20</v>
      </c>
      <c r="D68" t="s">
        <v>204</v>
      </c>
    </row>
    <row r="69" spans="1:4" x14ac:dyDescent="0.2">
      <c r="A69" t="s">
        <v>1380</v>
      </c>
      <c r="B69">
        <v>40</v>
      </c>
      <c r="C69" t="s">
        <v>20</v>
      </c>
      <c r="D69" t="s">
        <v>228</v>
      </c>
    </row>
    <row r="70" spans="1:4" x14ac:dyDescent="0.2">
      <c r="A70" t="s">
        <v>1380</v>
      </c>
      <c r="B70">
        <v>40</v>
      </c>
      <c r="C70" t="s">
        <v>20</v>
      </c>
      <c r="D70" t="s">
        <v>243</v>
      </c>
    </row>
    <row r="71" spans="1:4" x14ac:dyDescent="0.2">
      <c r="A71" t="s">
        <v>1380</v>
      </c>
      <c r="B71">
        <v>40</v>
      </c>
      <c r="C71" t="s">
        <v>20</v>
      </c>
      <c r="D71" t="s">
        <v>243</v>
      </c>
    </row>
    <row r="72" spans="1:4" x14ac:dyDescent="0.2">
      <c r="A72" t="s">
        <v>1380</v>
      </c>
      <c r="B72">
        <v>35</v>
      </c>
      <c r="C72" t="s">
        <v>20</v>
      </c>
      <c r="D72" t="s">
        <v>248</v>
      </c>
    </row>
    <row r="73" spans="1:4" x14ac:dyDescent="0.2">
      <c r="A73" t="s">
        <v>1380</v>
      </c>
      <c r="B73">
        <v>10</v>
      </c>
      <c r="C73" t="s">
        <v>20</v>
      </c>
      <c r="D73" t="s">
        <v>274</v>
      </c>
    </row>
    <row r="74" spans="1:4" x14ac:dyDescent="0.2">
      <c r="A74" t="s">
        <v>1380</v>
      </c>
      <c r="B74">
        <v>24</v>
      </c>
      <c r="C74" t="s">
        <v>20</v>
      </c>
      <c r="D74" t="s">
        <v>283</v>
      </c>
    </row>
    <row r="75" spans="1:4" x14ac:dyDescent="0.2">
      <c r="A75" t="s">
        <v>1380</v>
      </c>
      <c r="B75">
        <v>2</v>
      </c>
      <c r="C75" t="s">
        <v>20</v>
      </c>
      <c r="D75" t="s">
        <v>299</v>
      </c>
    </row>
    <row r="76" spans="1:4" x14ac:dyDescent="0.2">
      <c r="A76" t="s">
        <v>1380</v>
      </c>
      <c r="B76">
        <v>25</v>
      </c>
      <c r="C76" t="s">
        <v>20</v>
      </c>
      <c r="D76" t="s">
        <v>311</v>
      </c>
    </row>
    <row r="77" spans="1:4" x14ac:dyDescent="0.2">
      <c r="A77" t="s">
        <v>1380</v>
      </c>
      <c r="B77">
        <v>5</v>
      </c>
      <c r="C77" t="s">
        <v>20</v>
      </c>
      <c r="D77" t="s">
        <v>329</v>
      </c>
    </row>
    <row r="78" spans="1:4" x14ac:dyDescent="0.2">
      <c r="A78" t="s">
        <v>1380</v>
      </c>
      <c r="B78">
        <v>35</v>
      </c>
      <c r="C78" t="s">
        <v>20</v>
      </c>
      <c r="D78" t="s">
        <v>339</v>
      </c>
    </row>
    <row r="79" spans="1:4" x14ac:dyDescent="0.2">
      <c r="A79" t="s">
        <v>1380</v>
      </c>
      <c r="B79">
        <v>18</v>
      </c>
      <c r="C79" t="s">
        <v>20</v>
      </c>
      <c r="D79" t="s">
        <v>393</v>
      </c>
    </row>
    <row r="80" spans="1:4" x14ac:dyDescent="0.2">
      <c r="A80" t="s">
        <v>1380</v>
      </c>
      <c r="B80">
        <v>18</v>
      </c>
      <c r="C80" t="s">
        <v>20</v>
      </c>
      <c r="D80" t="s">
        <v>1158</v>
      </c>
    </row>
    <row r="81" spans="1:4" x14ac:dyDescent="0.2">
      <c r="A81" t="s">
        <v>1380</v>
      </c>
      <c r="B81">
        <v>7</v>
      </c>
      <c r="C81" t="s">
        <v>20</v>
      </c>
      <c r="D81" t="s">
        <v>439</v>
      </c>
    </row>
    <row r="82" spans="1:4" x14ac:dyDescent="0.2">
      <c r="A82" t="s">
        <v>1380</v>
      </c>
      <c r="B82">
        <v>20</v>
      </c>
      <c r="C82" t="s">
        <v>20</v>
      </c>
      <c r="D82" t="s">
        <v>448</v>
      </c>
    </row>
    <row r="83" spans="1:4" x14ac:dyDescent="0.2">
      <c r="A83" t="s">
        <v>1380</v>
      </c>
      <c r="B83">
        <v>40</v>
      </c>
      <c r="C83" t="s">
        <v>20</v>
      </c>
      <c r="D83" t="s">
        <v>468</v>
      </c>
    </row>
    <row r="84" spans="1:4" x14ac:dyDescent="0.2">
      <c r="A84" t="s">
        <v>1380</v>
      </c>
      <c r="B84">
        <v>40</v>
      </c>
      <c r="C84" t="s">
        <v>20</v>
      </c>
      <c r="D84" t="s">
        <v>581</v>
      </c>
    </row>
    <row r="85" spans="1:4" x14ac:dyDescent="0.2">
      <c r="A85" t="s">
        <v>1380</v>
      </c>
      <c r="B85">
        <v>5</v>
      </c>
      <c r="C85" t="s">
        <v>20</v>
      </c>
      <c r="D85" t="s">
        <v>612</v>
      </c>
    </row>
    <row r="86" spans="1:4" x14ac:dyDescent="0.2">
      <c r="A86" t="s">
        <v>1380</v>
      </c>
      <c r="B86">
        <v>12</v>
      </c>
      <c r="C86" t="s">
        <v>20</v>
      </c>
      <c r="D86" t="s">
        <v>654</v>
      </c>
    </row>
    <row r="87" spans="1:4" x14ac:dyDescent="0.2">
      <c r="A87" t="s">
        <v>1380</v>
      </c>
      <c r="B87">
        <v>20</v>
      </c>
      <c r="C87" t="s">
        <v>20</v>
      </c>
      <c r="D87" t="s">
        <v>676</v>
      </c>
    </row>
    <row r="88" spans="1:4" x14ac:dyDescent="0.2">
      <c r="A88" t="s">
        <v>1380</v>
      </c>
      <c r="B88">
        <v>7</v>
      </c>
      <c r="C88" t="s">
        <v>20</v>
      </c>
      <c r="D88" t="s">
        <v>732</v>
      </c>
    </row>
    <row r="89" spans="1:4" x14ac:dyDescent="0.2">
      <c r="A89" t="s">
        <v>1380</v>
      </c>
      <c r="B89">
        <v>15</v>
      </c>
      <c r="C89" t="s">
        <v>20</v>
      </c>
      <c r="D89" t="s">
        <v>860</v>
      </c>
    </row>
    <row r="90" spans="1:4" x14ac:dyDescent="0.2">
      <c r="A90" t="s">
        <v>1380</v>
      </c>
      <c r="B90">
        <v>30</v>
      </c>
      <c r="C90" t="s">
        <v>20</v>
      </c>
      <c r="D90" t="s">
        <v>933</v>
      </c>
    </row>
    <row r="91" spans="1:4" x14ac:dyDescent="0.2">
      <c r="A91" t="s">
        <v>1380</v>
      </c>
      <c r="B91">
        <v>50</v>
      </c>
      <c r="C91" t="s">
        <v>20</v>
      </c>
      <c r="D91" t="s">
        <v>945</v>
      </c>
    </row>
    <row r="92" spans="1:4" x14ac:dyDescent="0.2">
      <c r="A92" t="s">
        <v>1380</v>
      </c>
      <c r="B92">
        <v>66</v>
      </c>
      <c r="C92" t="s">
        <v>20</v>
      </c>
      <c r="D92" t="s">
        <v>988</v>
      </c>
    </row>
    <row r="93" spans="1:4" x14ac:dyDescent="0.2">
      <c r="A93" t="s">
        <v>1380</v>
      </c>
      <c r="B93">
        <v>18</v>
      </c>
      <c r="C93" t="s">
        <v>20</v>
      </c>
      <c r="D93" t="s">
        <v>1003</v>
      </c>
    </row>
    <row r="94" spans="1:4" x14ac:dyDescent="0.2">
      <c r="A94" t="s">
        <v>1381</v>
      </c>
      <c r="B94">
        <v>40</v>
      </c>
      <c r="C94" t="s">
        <v>20</v>
      </c>
      <c r="D94" t="s">
        <v>45</v>
      </c>
    </row>
    <row r="95" spans="1:4" x14ac:dyDescent="0.2">
      <c r="A95" t="s">
        <v>1381</v>
      </c>
      <c r="B95">
        <v>22</v>
      </c>
      <c r="C95" t="s">
        <v>20</v>
      </c>
      <c r="D95" t="s">
        <v>124</v>
      </c>
    </row>
    <row r="96" spans="1:4" x14ac:dyDescent="0.2">
      <c r="A96" t="s">
        <v>1381</v>
      </c>
      <c r="B96">
        <v>110</v>
      </c>
      <c r="C96" t="s">
        <v>20</v>
      </c>
      <c r="D96" t="s">
        <v>128</v>
      </c>
    </row>
    <row r="97" spans="1:4" x14ac:dyDescent="0.2">
      <c r="A97" t="s">
        <v>1381</v>
      </c>
      <c r="B97">
        <v>120</v>
      </c>
      <c r="C97" t="s">
        <v>20</v>
      </c>
      <c r="D97" t="s">
        <v>146</v>
      </c>
    </row>
    <row r="98" spans="1:4" x14ac:dyDescent="0.2">
      <c r="A98" t="s">
        <v>1381</v>
      </c>
      <c r="B98">
        <v>44</v>
      </c>
      <c r="C98" t="s">
        <v>20</v>
      </c>
      <c r="D98" t="s">
        <v>204</v>
      </c>
    </row>
    <row r="99" spans="1:4" x14ac:dyDescent="0.2">
      <c r="A99" t="s">
        <v>1381</v>
      </c>
      <c r="B99">
        <v>50</v>
      </c>
      <c r="C99" t="s">
        <v>20</v>
      </c>
      <c r="D99" t="s">
        <v>230</v>
      </c>
    </row>
    <row r="100" spans="1:4" x14ac:dyDescent="0.2">
      <c r="A100" t="s">
        <v>1381</v>
      </c>
      <c r="B100">
        <v>80</v>
      </c>
      <c r="C100" t="s">
        <v>20</v>
      </c>
      <c r="D100" t="s">
        <v>243</v>
      </c>
    </row>
    <row r="101" spans="1:4" x14ac:dyDescent="0.2">
      <c r="A101" t="s">
        <v>1381</v>
      </c>
      <c r="B101">
        <v>50</v>
      </c>
      <c r="C101" t="s">
        <v>20</v>
      </c>
      <c r="D101" t="s">
        <v>248</v>
      </c>
    </row>
    <row r="102" spans="1:4" x14ac:dyDescent="0.2">
      <c r="A102" t="s">
        <v>1381</v>
      </c>
      <c r="B102">
        <v>20</v>
      </c>
      <c r="C102" t="s">
        <v>20</v>
      </c>
      <c r="D102" t="s">
        <v>263</v>
      </c>
    </row>
    <row r="103" spans="1:4" x14ac:dyDescent="0.2">
      <c r="A103" t="s">
        <v>1381</v>
      </c>
      <c r="B103">
        <v>30</v>
      </c>
      <c r="C103" t="s">
        <v>20</v>
      </c>
      <c r="D103" t="s">
        <v>271</v>
      </c>
    </row>
    <row r="104" spans="1:4" x14ac:dyDescent="0.2">
      <c r="A104" t="s">
        <v>1381</v>
      </c>
      <c r="B104">
        <v>16</v>
      </c>
      <c r="C104" t="s">
        <v>20</v>
      </c>
      <c r="D104" t="s">
        <v>283</v>
      </c>
    </row>
    <row r="105" spans="1:4" x14ac:dyDescent="0.2">
      <c r="A105" t="s">
        <v>1381</v>
      </c>
      <c r="B105">
        <v>15</v>
      </c>
      <c r="C105" t="s">
        <v>20</v>
      </c>
      <c r="D105" t="s">
        <v>299</v>
      </c>
    </row>
    <row r="106" spans="1:4" x14ac:dyDescent="0.2">
      <c r="A106" t="s">
        <v>1381</v>
      </c>
      <c r="B106">
        <v>50</v>
      </c>
      <c r="C106" t="s">
        <v>20</v>
      </c>
      <c r="D106" t="s">
        <v>311</v>
      </c>
    </row>
    <row r="107" spans="1:4" x14ac:dyDescent="0.2">
      <c r="A107" t="s">
        <v>1381</v>
      </c>
      <c r="B107">
        <v>10</v>
      </c>
      <c r="C107" t="s">
        <v>20</v>
      </c>
      <c r="D107" t="s">
        <v>365</v>
      </c>
    </row>
    <row r="108" spans="1:4" x14ac:dyDescent="0.2">
      <c r="A108" t="s">
        <v>1381</v>
      </c>
      <c r="B108">
        <v>1</v>
      </c>
      <c r="C108" t="s">
        <v>20</v>
      </c>
      <c r="D108" t="s">
        <v>371</v>
      </c>
    </row>
    <row r="109" spans="1:4" x14ac:dyDescent="0.2">
      <c r="A109" t="s">
        <v>1381</v>
      </c>
      <c r="B109">
        <v>36</v>
      </c>
      <c r="C109" t="s">
        <v>20</v>
      </c>
      <c r="D109" t="s">
        <v>393</v>
      </c>
    </row>
    <row r="110" spans="1:4" x14ac:dyDescent="0.2">
      <c r="A110" t="s">
        <v>1381</v>
      </c>
      <c r="B110">
        <v>18</v>
      </c>
      <c r="C110" t="s">
        <v>20</v>
      </c>
      <c r="D110" t="s">
        <v>1158</v>
      </c>
    </row>
    <row r="111" spans="1:4" x14ac:dyDescent="0.2">
      <c r="A111" t="s">
        <v>1381</v>
      </c>
      <c r="B111">
        <v>48</v>
      </c>
      <c r="C111" t="s">
        <v>20</v>
      </c>
      <c r="D111" t="s">
        <v>414</v>
      </c>
    </row>
    <row r="112" spans="1:4" x14ac:dyDescent="0.2">
      <c r="A112" t="s">
        <v>1381</v>
      </c>
      <c r="B112">
        <v>30</v>
      </c>
      <c r="C112" t="s">
        <v>20</v>
      </c>
      <c r="D112" t="s">
        <v>430</v>
      </c>
    </row>
    <row r="113" spans="1:4" x14ac:dyDescent="0.2">
      <c r="A113" t="s">
        <v>1381</v>
      </c>
      <c r="B113">
        <v>40</v>
      </c>
      <c r="C113" t="s">
        <v>20</v>
      </c>
      <c r="D113" t="s">
        <v>448</v>
      </c>
    </row>
    <row r="114" spans="1:4" x14ac:dyDescent="0.2">
      <c r="A114" t="s">
        <v>1381</v>
      </c>
      <c r="B114">
        <v>40</v>
      </c>
      <c r="C114" t="s">
        <v>20</v>
      </c>
      <c r="D114" t="s">
        <v>468</v>
      </c>
    </row>
    <row r="115" spans="1:4" x14ac:dyDescent="0.2">
      <c r="A115" t="s">
        <v>1381</v>
      </c>
      <c r="B115">
        <v>40</v>
      </c>
      <c r="C115" t="s">
        <v>20</v>
      </c>
      <c r="D115" t="s">
        <v>495</v>
      </c>
    </row>
    <row r="116" spans="1:4" x14ac:dyDescent="0.2">
      <c r="A116" t="s">
        <v>1381</v>
      </c>
      <c r="B116">
        <v>60</v>
      </c>
      <c r="C116" t="s">
        <v>20</v>
      </c>
      <c r="D116" t="s">
        <v>508</v>
      </c>
    </row>
    <row r="117" spans="1:4" x14ac:dyDescent="0.2">
      <c r="A117" t="s">
        <v>1381</v>
      </c>
      <c r="B117">
        <v>24</v>
      </c>
      <c r="C117" t="s">
        <v>20</v>
      </c>
      <c r="D117" t="s">
        <v>1129</v>
      </c>
    </row>
    <row r="118" spans="1:4" x14ac:dyDescent="0.2">
      <c r="A118" t="s">
        <v>1381</v>
      </c>
      <c r="B118">
        <v>20</v>
      </c>
      <c r="C118" t="s">
        <v>20</v>
      </c>
      <c r="D118" t="s">
        <v>534</v>
      </c>
    </row>
    <row r="119" spans="1:4" x14ac:dyDescent="0.2">
      <c r="A119" t="s">
        <v>1381</v>
      </c>
      <c r="B119">
        <v>35</v>
      </c>
      <c r="C119" t="s">
        <v>20</v>
      </c>
      <c r="D119" t="s">
        <v>555</v>
      </c>
    </row>
    <row r="120" spans="1:4" x14ac:dyDescent="0.2">
      <c r="A120" t="s">
        <v>1381</v>
      </c>
      <c r="B120">
        <v>50</v>
      </c>
      <c r="C120" t="s">
        <v>20</v>
      </c>
      <c r="D120" t="s">
        <v>579</v>
      </c>
    </row>
    <row r="121" spans="1:4" x14ac:dyDescent="0.2">
      <c r="A121" t="s">
        <v>1381</v>
      </c>
      <c r="B121">
        <v>120</v>
      </c>
      <c r="C121" t="s">
        <v>20</v>
      </c>
      <c r="D121" t="s">
        <v>581</v>
      </c>
    </row>
    <row r="122" spans="1:4" x14ac:dyDescent="0.2">
      <c r="A122" t="s">
        <v>1381</v>
      </c>
      <c r="B122">
        <v>15</v>
      </c>
      <c r="C122" t="s">
        <v>20</v>
      </c>
      <c r="D122" t="s">
        <v>612</v>
      </c>
    </row>
    <row r="123" spans="1:4" x14ac:dyDescent="0.2">
      <c r="A123" t="s">
        <v>1381</v>
      </c>
      <c r="B123">
        <v>40</v>
      </c>
      <c r="C123" t="s">
        <v>20</v>
      </c>
      <c r="D123" t="s">
        <v>631</v>
      </c>
    </row>
    <row r="124" spans="1:4" x14ac:dyDescent="0.2">
      <c r="A124" t="s">
        <v>1381</v>
      </c>
      <c r="B124">
        <v>22</v>
      </c>
      <c r="C124" t="s">
        <v>20</v>
      </c>
      <c r="D124" t="s">
        <v>654</v>
      </c>
    </row>
    <row r="125" spans="1:4" x14ac:dyDescent="0.2">
      <c r="A125" t="s">
        <v>1381</v>
      </c>
      <c r="B125">
        <v>20</v>
      </c>
      <c r="C125" t="s">
        <v>20</v>
      </c>
      <c r="D125" t="s">
        <v>656</v>
      </c>
    </row>
    <row r="126" spans="1:4" x14ac:dyDescent="0.2">
      <c r="A126" t="s">
        <v>1381</v>
      </c>
      <c r="B126">
        <v>20</v>
      </c>
      <c r="C126" t="s">
        <v>20</v>
      </c>
      <c r="D126" t="s">
        <v>1237</v>
      </c>
    </row>
    <row r="127" spans="1:4" x14ac:dyDescent="0.2">
      <c r="A127" t="s">
        <v>1381</v>
      </c>
      <c r="B127">
        <v>40</v>
      </c>
      <c r="C127" t="s">
        <v>20</v>
      </c>
      <c r="D127" t="s">
        <v>676</v>
      </c>
    </row>
    <row r="128" spans="1:4" x14ac:dyDescent="0.2">
      <c r="A128" t="s">
        <v>1381</v>
      </c>
      <c r="B128">
        <v>20</v>
      </c>
      <c r="C128" t="s">
        <v>20</v>
      </c>
      <c r="D128" t="s">
        <v>684</v>
      </c>
    </row>
    <row r="129" spans="1:4" x14ac:dyDescent="0.2">
      <c r="A129" t="s">
        <v>1381</v>
      </c>
      <c r="B129">
        <v>120</v>
      </c>
      <c r="C129" t="s">
        <v>20</v>
      </c>
      <c r="D129" t="s">
        <v>745</v>
      </c>
    </row>
    <row r="130" spans="1:4" x14ac:dyDescent="0.2">
      <c r="A130" t="s">
        <v>1381</v>
      </c>
      <c r="B130">
        <v>195</v>
      </c>
      <c r="C130" t="s">
        <v>20</v>
      </c>
      <c r="D130" t="s">
        <v>768</v>
      </c>
    </row>
    <row r="131" spans="1:4" x14ac:dyDescent="0.2">
      <c r="A131" t="s">
        <v>1381</v>
      </c>
      <c r="B131">
        <v>25</v>
      </c>
      <c r="C131" t="s">
        <v>20</v>
      </c>
      <c r="D131" t="s">
        <v>770</v>
      </c>
    </row>
    <row r="132" spans="1:4" x14ac:dyDescent="0.2">
      <c r="A132" t="s">
        <v>1381</v>
      </c>
      <c r="B132">
        <v>2</v>
      </c>
      <c r="C132" t="s">
        <v>20</v>
      </c>
      <c r="D132" t="s">
        <v>834</v>
      </c>
    </row>
    <row r="133" spans="1:4" x14ac:dyDescent="0.2">
      <c r="A133" t="s">
        <v>1381</v>
      </c>
      <c r="B133">
        <v>10</v>
      </c>
      <c r="C133" t="s">
        <v>20</v>
      </c>
      <c r="D133" t="s">
        <v>860</v>
      </c>
    </row>
    <row r="134" spans="1:4" x14ac:dyDescent="0.2">
      <c r="A134" t="s">
        <v>1381</v>
      </c>
      <c r="B134">
        <v>3</v>
      </c>
      <c r="C134" t="s">
        <v>20</v>
      </c>
      <c r="D134" t="s">
        <v>875</v>
      </c>
    </row>
    <row r="135" spans="1:4" x14ac:dyDescent="0.2">
      <c r="A135" t="s">
        <v>1381</v>
      </c>
      <c r="B135">
        <v>10</v>
      </c>
      <c r="C135" t="s">
        <v>20</v>
      </c>
      <c r="D135" t="s">
        <v>889</v>
      </c>
    </row>
    <row r="136" spans="1:4" x14ac:dyDescent="0.2">
      <c r="A136" t="s">
        <v>1381</v>
      </c>
      <c r="B136">
        <v>20</v>
      </c>
      <c r="C136" t="s">
        <v>20</v>
      </c>
      <c r="D136" t="s">
        <v>911</v>
      </c>
    </row>
    <row r="137" spans="1:4" x14ac:dyDescent="0.2">
      <c r="A137" t="s">
        <v>1381</v>
      </c>
      <c r="B137">
        <v>95</v>
      </c>
      <c r="C137" t="s">
        <v>20</v>
      </c>
      <c r="D137" t="s">
        <v>945</v>
      </c>
    </row>
    <row r="138" spans="1:4" x14ac:dyDescent="0.2">
      <c r="A138" t="s">
        <v>1381</v>
      </c>
      <c r="B138">
        <v>5</v>
      </c>
      <c r="C138" t="s">
        <v>50</v>
      </c>
      <c r="D138" t="s">
        <v>988</v>
      </c>
    </row>
    <row r="139" spans="1:4" x14ac:dyDescent="0.2">
      <c r="A139" t="s">
        <v>1381</v>
      </c>
      <c r="B139">
        <v>16</v>
      </c>
      <c r="C139" t="s">
        <v>50</v>
      </c>
      <c r="D139" t="s">
        <v>988</v>
      </c>
    </row>
    <row r="140" spans="1:4" x14ac:dyDescent="0.2">
      <c r="A140" t="s">
        <v>1381</v>
      </c>
      <c r="B140">
        <v>36</v>
      </c>
      <c r="C140" t="s">
        <v>20</v>
      </c>
      <c r="D140" t="s">
        <v>1003</v>
      </c>
    </row>
    <row r="141" spans="1:4" x14ac:dyDescent="0.2">
      <c r="A141" t="s">
        <v>1387</v>
      </c>
      <c r="B141">
        <v>80</v>
      </c>
      <c r="C141" t="s">
        <v>20</v>
      </c>
      <c r="D141" t="s">
        <v>146</v>
      </c>
    </row>
    <row r="142" spans="1:4" x14ac:dyDescent="0.2">
      <c r="A142" t="s">
        <v>1387</v>
      </c>
      <c r="B142">
        <v>60</v>
      </c>
      <c r="C142" t="s">
        <v>20</v>
      </c>
      <c r="D142" t="s">
        <v>153</v>
      </c>
    </row>
    <row r="143" spans="1:4" x14ac:dyDescent="0.2">
      <c r="A143" t="s">
        <v>1387</v>
      </c>
      <c r="B143">
        <v>20</v>
      </c>
      <c r="C143" t="s">
        <v>20</v>
      </c>
      <c r="D143" t="s">
        <v>190</v>
      </c>
    </row>
    <row r="144" spans="1:4" x14ac:dyDescent="0.2">
      <c r="A144" t="s">
        <v>1387</v>
      </c>
      <c r="B144">
        <v>22</v>
      </c>
      <c r="C144" t="s">
        <v>20</v>
      </c>
      <c r="D144" t="s">
        <v>204</v>
      </c>
    </row>
    <row r="145" spans="1:4" x14ac:dyDescent="0.2">
      <c r="A145" t="s">
        <v>1387</v>
      </c>
      <c r="B145">
        <v>20</v>
      </c>
      <c r="C145" t="s">
        <v>20</v>
      </c>
      <c r="D145" t="s">
        <v>228</v>
      </c>
    </row>
    <row r="146" spans="1:4" x14ac:dyDescent="0.2">
      <c r="A146" t="s">
        <v>1387</v>
      </c>
      <c r="B146">
        <v>25</v>
      </c>
      <c r="C146" t="s">
        <v>20</v>
      </c>
      <c r="D146" t="s">
        <v>223</v>
      </c>
    </row>
    <row r="147" spans="1:4" x14ac:dyDescent="0.2">
      <c r="A147" t="s">
        <v>1387</v>
      </c>
      <c r="B147">
        <v>60</v>
      </c>
      <c r="C147" t="s">
        <v>20</v>
      </c>
      <c r="D147" t="s">
        <v>243</v>
      </c>
    </row>
    <row r="148" spans="1:4" x14ac:dyDescent="0.2">
      <c r="A148" t="s">
        <v>1387</v>
      </c>
      <c r="B148">
        <v>100</v>
      </c>
      <c r="C148" t="s">
        <v>20</v>
      </c>
      <c r="D148" t="s">
        <v>248</v>
      </c>
    </row>
    <row r="149" spans="1:4" x14ac:dyDescent="0.2">
      <c r="A149" t="s">
        <v>1387</v>
      </c>
      <c r="B149">
        <v>10</v>
      </c>
      <c r="C149" t="s">
        <v>20</v>
      </c>
      <c r="D149" t="s">
        <v>263</v>
      </c>
    </row>
    <row r="150" spans="1:4" x14ac:dyDescent="0.2">
      <c r="A150" t="s">
        <v>1387</v>
      </c>
      <c r="B150">
        <v>10</v>
      </c>
      <c r="C150" t="s">
        <v>20</v>
      </c>
      <c r="D150" t="s">
        <v>271</v>
      </c>
    </row>
    <row r="151" spans="1:4" x14ac:dyDescent="0.2">
      <c r="A151" t="s">
        <v>1387</v>
      </c>
      <c r="B151">
        <v>20</v>
      </c>
      <c r="C151" t="s">
        <v>20</v>
      </c>
      <c r="D151" t="s">
        <v>276</v>
      </c>
    </row>
    <row r="152" spans="1:4" x14ac:dyDescent="0.2">
      <c r="A152" t="s">
        <v>1387</v>
      </c>
      <c r="B152">
        <v>25</v>
      </c>
      <c r="C152" t="s">
        <v>20</v>
      </c>
      <c r="D152" t="s">
        <v>311</v>
      </c>
    </row>
    <row r="153" spans="1:4" x14ac:dyDescent="0.2">
      <c r="A153" t="s">
        <v>1387</v>
      </c>
      <c r="B153">
        <v>20</v>
      </c>
      <c r="C153" t="s">
        <v>20</v>
      </c>
      <c r="D153" t="s">
        <v>327</v>
      </c>
    </row>
    <row r="154" spans="1:4" x14ac:dyDescent="0.2">
      <c r="A154" t="s">
        <v>1387</v>
      </c>
      <c r="B154">
        <v>50</v>
      </c>
      <c r="C154" t="s">
        <v>20</v>
      </c>
      <c r="D154" t="s">
        <v>339</v>
      </c>
    </row>
    <row r="155" spans="1:4" x14ac:dyDescent="0.2">
      <c r="A155" t="s">
        <v>1387</v>
      </c>
      <c r="B155">
        <v>10</v>
      </c>
      <c r="C155" t="s">
        <v>20</v>
      </c>
      <c r="D155" t="s">
        <v>371</v>
      </c>
    </row>
    <row r="156" spans="1:4" x14ac:dyDescent="0.2">
      <c r="A156" t="s">
        <v>1387</v>
      </c>
      <c r="B156">
        <v>60</v>
      </c>
      <c r="C156" t="s">
        <v>20</v>
      </c>
      <c r="D156" t="s">
        <v>414</v>
      </c>
    </row>
    <row r="157" spans="1:4" x14ac:dyDescent="0.2">
      <c r="A157" t="s">
        <v>1387</v>
      </c>
      <c r="B157">
        <v>10</v>
      </c>
      <c r="C157" t="s">
        <v>20</v>
      </c>
      <c r="D157" t="s">
        <v>439</v>
      </c>
    </row>
    <row r="158" spans="1:4" x14ac:dyDescent="0.2">
      <c r="A158" t="s">
        <v>1387</v>
      </c>
      <c r="B158">
        <v>5</v>
      </c>
      <c r="C158" t="s">
        <v>20</v>
      </c>
      <c r="D158" t="s">
        <v>443</v>
      </c>
    </row>
    <row r="159" spans="1:4" x14ac:dyDescent="0.2">
      <c r="A159" t="s">
        <v>1387</v>
      </c>
      <c r="B159">
        <v>20</v>
      </c>
      <c r="C159" t="s">
        <v>20</v>
      </c>
      <c r="D159" t="s">
        <v>448</v>
      </c>
    </row>
    <row r="160" spans="1:4" x14ac:dyDescent="0.2">
      <c r="A160" t="s">
        <v>1387</v>
      </c>
      <c r="B160">
        <v>50</v>
      </c>
      <c r="C160" t="s">
        <v>20</v>
      </c>
      <c r="D160" t="s">
        <v>468</v>
      </c>
    </row>
    <row r="161" spans="1:4" x14ac:dyDescent="0.2">
      <c r="A161" t="s">
        <v>1387</v>
      </c>
      <c r="B161">
        <v>50</v>
      </c>
      <c r="C161" t="s">
        <v>20</v>
      </c>
      <c r="D161" t="s">
        <v>555</v>
      </c>
    </row>
    <row r="162" spans="1:4" x14ac:dyDescent="0.2">
      <c r="A162" t="s">
        <v>1387</v>
      </c>
      <c r="B162">
        <v>50</v>
      </c>
      <c r="C162" t="s">
        <v>20</v>
      </c>
      <c r="D162" t="s">
        <v>579</v>
      </c>
    </row>
    <row r="163" spans="1:4" x14ac:dyDescent="0.2">
      <c r="A163" t="s">
        <v>1387</v>
      </c>
      <c r="B163">
        <v>60</v>
      </c>
      <c r="C163" t="s">
        <v>20</v>
      </c>
      <c r="D163" t="s">
        <v>581</v>
      </c>
    </row>
    <row r="164" spans="1:4" x14ac:dyDescent="0.2">
      <c r="A164" t="s">
        <v>1387</v>
      </c>
      <c r="B164">
        <v>5</v>
      </c>
      <c r="C164" t="s">
        <v>20</v>
      </c>
      <c r="D164" t="s">
        <v>642</v>
      </c>
    </row>
    <row r="165" spans="1:4" x14ac:dyDescent="0.2">
      <c r="A165" t="s">
        <v>1387</v>
      </c>
      <c r="B165">
        <v>2</v>
      </c>
      <c r="C165" t="s">
        <v>20</v>
      </c>
      <c r="D165" t="s">
        <v>654</v>
      </c>
    </row>
    <row r="166" spans="1:4" x14ac:dyDescent="0.2">
      <c r="A166" t="s">
        <v>1387</v>
      </c>
      <c r="B166">
        <v>35</v>
      </c>
      <c r="C166" t="s">
        <v>20</v>
      </c>
      <c r="D166" t="s">
        <v>676</v>
      </c>
    </row>
    <row r="167" spans="1:4" x14ac:dyDescent="0.2">
      <c r="A167" t="s">
        <v>1387</v>
      </c>
      <c r="B167">
        <v>20</v>
      </c>
      <c r="C167" t="s">
        <v>20</v>
      </c>
      <c r="D167" t="s">
        <v>777</v>
      </c>
    </row>
    <row r="168" spans="1:4" x14ac:dyDescent="0.2">
      <c r="A168" t="s">
        <v>1387</v>
      </c>
      <c r="B168">
        <v>25</v>
      </c>
      <c r="C168" t="s">
        <v>20</v>
      </c>
      <c r="D168" t="s">
        <v>779</v>
      </c>
    </row>
    <row r="169" spans="1:4" x14ac:dyDescent="0.2">
      <c r="A169" t="s">
        <v>1387</v>
      </c>
      <c r="B169">
        <v>20</v>
      </c>
      <c r="C169" t="s">
        <v>20</v>
      </c>
      <c r="D169" t="s">
        <v>860</v>
      </c>
    </row>
    <row r="170" spans="1:4" x14ac:dyDescent="0.2">
      <c r="A170" t="s">
        <v>1387</v>
      </c>
      <c r="B170">
        <v>60</v>
      </c>
      <c r="C170" t="s">
        <v>20</v>
      </c>
      <c r="D170" t="s">
        <v>889</v>
      </c>
    </row>
    <row r="171" spans="1:4" x14ac:dyDescent="0.2">
      <c r="A171" t="s">
        <v>1387</v>
      </c>
      <c r="B171">
        <v>25</v>
      </c>
      <c r="C171" t="s">
        <v>20</v>
      </c>
      <c r="D171" t="s">
        <v>922</v>
      </c>
    </row>
    <row r="172" spans="1:4" x14ac:dyDescent="0.2">
      <c r="A172" t="s">
        <v>1387</v>
      </c>
      <c r="B172">
        <v>30</v>
      </c>
      <c r="C172" t="s">
        <v>20</v>
      </c>
      <c r="D172" t="s">
        <v>933</v>
      </c>
    </row>
    <row r="173" spans="1:4" x14ac:dyDescent="0.2">
      <c r="A173" t="s">
        <v>1387</v>
      </c>
      <c r="B173">
        <v>100</v>
      </c>
      <c r="C173" t="s">
        <v>20</v>
      </c>
      <c r="D173" t="s">
        <v>945</v>
      </c>
    </row>
    <row r="174" spans="1:4" x14ac:dyDescent="0.2">
      <c r="A174" t="s">
        <v>1387</v>
      </c>
      <c r="B174">
        <v>88</v>
      </c>
      <c r="C174" t="s">
        <v>20</v>
      </c>
      <c r="D174" t="s">
        <v>988</v>
      </c>
    </row>
    <row r="175" spans="1:4" x14ac:dyDescent="0.2">
      <c r="A175" t="s">
        <v>1388</v>
      </c>
      <c r="B175">
        <v>80</v>
      </c>
      <c r="C175" t="s">
        <v>20</v>
      </c>
      <c r="D175" t="s">
        <v>34</v>
      </c>
    </row>
    <row r="176" spans="1:4" x14ac:dyDescent="0.2">
      <c r="A176" t="s">
        <v>1388</v>
      </c>
      <c r="B176">
        <v>80</v>
      </c>
      <c r="C176" t="s">
        <v>20</v>
      </c>
      <c r="D176" t="s">
        <v>45</v>
      </c>
    </row>
    <row r="177" spans="1:4" x14ac:dyDescent="0.2">
      <c r="A177" t="s">
        <v>1388</v>
      </c>
      <c r="B177">
        <v>60</v>
      </c>
      <c r="C177" t="s">
        <v>20</v>
      </c>
      <c r="D177" t="s">
        <v>100</v>
      </c>
    </row>
    <row r="178" spans="1:4" x14ac:dyDescent="0.2">
      <c r="A178" t="s">
        <v>1388</v>
      </c>
      <c r="B178">
        <v>25</v>
      </c>
      <c r="C178" t="s">
        <v>20</v>
      </c>
      <c r="D178" t="s">
        <v>128</v>
      </c>
    </row>
    <row r="179" spans="1:4" x14ac:dyDescent="0.2">
      <c r="A179" t="s">
        <v>1388</v>
      </c>
      <c r="B179">
        <v>80</v>
      </c>
      <c r="C179" t="s">
        <v>20</v>
      </c>
      <c r="D179" t="s">
        <v>146</v>
      </c>
    </row>
    <row r="180" spans="1:4" x14ac:dyDescent="0.2">
      <c r="A180" t="s">
        <v>1388</v>
      </c>
      <c r="B180">
        <v>10</v>
      </c>
      <c r="C180" t="s">
        <v>20</v>
      </c>
      <c r="D180" t="s">
        <v>172</v>
      </c>
    </row>
    <row r="181" spans="1:4" x14ac:dyDescent="0.2">
      <c r="A181" t="s">
        <v>1388</v>
      </c>
      <c r="B181">
        <v>12</v>
      </c>
      <c r="C181" t="s">
        <v>20</v>
      </c>
      <c r="D181" t="s">
        <v>178</v>
      </c>
    </row>
    <row r="182" spans="1:4" x14ac:dyDescent="0.2">
      <c r="A182" t="s">
        <v>1388</v>
      </c>
      <c r="B182">
        <v>20</v>
      </c>
      <c r="C182" t="s">
        <v>20</v>
      </c>
      <c r="D182" t="s">
        <v>190</v>
      </c>
    </row>
    <row r="183" spans="1:4" x14ac:dyDescent="0.2">
      <c r="A183" t="s">
        <v>1388</v>
      </c>
      <c r="B183">
        <v>22</v>
      </c>
      <c r="C183" t="s">
        <v>20</v>
      </c>
      <c r="D183" t="s">
        <v>204</v>
      </c>
    </row>
    <row r="184" spans="1:4" x14ac:dyDescent="0.2">
      <c r="A184" t="s">
        <v>1388</v>
      </c>
      <c r="B184">
        <v>40</v>
      </c>
      <c r="C184" t="s">
        <v>20</v>
      </c>
      <c r="D184" t="s">
        <v>228</v>
      </c>
    </row>
    <row r="185" spans="1:4" x14ac:dyDescent="0.2">
      <c r="A185" t="s">
        <v>1388</v>
      </c>
      <c r="B185">
        <v>35</v>
      </c>
      <c r="C185" t="s">
        <v>20</v>
      </c>
      <c r="D185" t="s">
        <v>221</v>
      </c>
    </row>
    <row r="186" spans="1:4" x14ac:dyDescent="0.2">
      <c r="A186" t="s">
        <v>1388</v>
      </c>
      <c r="B186">
        <v>75</v>
      </c>
      <c r="C186" t="s">
        <v>20</v>
      </c>
      <c r="D186" t="s">
        <v>223</v>
      </c>
    </row>
    <row r="187" spans="1:4" x14ac:dyDescent="0.2">
      <c r="A187" t="s">
        <v>1388</v>
      </c>
      <c r="B187">
        <v>80</v>
      </c>
      <c r="C187" t="s">
        <v>20</v>
      </c>
      <c r="D187" t="s">
        <v>243</v>
      </c>
    </row>
    <row r="188" spans="1:4" x14ac:dyDescent="0.2">
      <c r="A188" t="s">
        <v>1388</v>
      </c>
      <c r="B188">
        <v>100</v>
      </c>
      <c r="C188" t="s">
        <v>20</v>
      </c>
      <c r="D188" t="s">
        <v>248</v>
      </c>
    </row>
    <row r="189" spans="1:4" x14ac:dyDescent="0.2">
      <c r="A189" t="s">
        <v>1388</v>
      </c>
      <c r="B189">
        <v>10</v>
      </c>
      <c r="C189" t="s">
        <v>20</v>
      </c>
      <c r="D189" t="s">
        <v>263</v>
      </c>
    </row>
    <row r="190" spans="1:4" x14ac:dyDescent="0.2">
      <c r="A190" t="s">
        <v>1388</v>
      </c>
      <c r="B190">
        <v>10</v>
      </c>
      <c r="C190" t="s">
        <v>20</v>
      </c>
      <c r="D190" t="s">
        <v>271</v>
      </c>
    </row>
    <row r="191" spans="1:4" x14ac:dyDescent="0.2">
      <c r="A191" t="s">
        <v>1388</v>
      </c>
      <c r="B191">
        <v>20</v>
      </c>
      <c r="C191" t="s">
        <v>20</v>
      </c>
      <c r="D191" t="s">
        <v>276</v>
      </c>
    </row>
    <row r="192" spans="1:4" x14ac:dyDescent="0.2">
      <c r="A192" t="s">
        <v>1388</v>
      </c>
      <c r="B192">
        <v>8</v>
      </c>
      <c r="C192" t="s">
        <v>20</v>
      </c>
      <c r="D192" t="s">
        <v>283</v>
      </c>
    </row>
    <row r="193" spans="1:4" x14ac:dyDescent="0.2">
      <c r="A193" t="s">
        <v>1388</v>
      </c>
      <c r="B193">
        <v>50</v>
      </c>
      <c r="C193" t="s">
        <v>20</v>
      </c>
      <c r="D193" t="s">
        <v>311</v>
      </c>
    </row>
    <row r="194" spans="1:4" x14ac:dyDescent="0.2">
      <c r="A194" t="s">
        <v>1388</v>
      </c>
      <c r="B194">
        <v>20</v>
      </c>
      <c r="C194" t="s">
        <v>20</v>
      </c>
      <c r="D194" t="s">
        <v>327</v>
      </c>
    </row>
    <row r="195" spans="1:4" x14ac:dyDescent="0.2">
      <c r="A195" t="s">
        <v>1388</v>
      </c>
      <c r="B195">
        <v>25</v>
      </c>
      <c r="C195" t="s">
        <v>20</v>
      </c>
      <c r="D195" t="s">
        <v>339</v>
      </c>
    </row>
    <row r="196" spans="1:4" x14ac:dyDescent="0.2">
      <c r="A196" t="s">
        <v>1388</v>
      </c>
      <c r="B196">
        <v>5</v>
      </c>
      <c r="C196" t="s">
        <v>20</v>
      </c>
      <c r="D196" t="s">
        <v>371</v>
      </c>
    </row>
    <row r="197" spans="1:4" x14ac:dyDescent="0.2">
      <c r="A197" t="s">
        <v>1388</v>
      </c>
      <c r="B197">
        <v>40</v>
      </c>
      <c r="C197" t="s">
        <v>20</v>
      </c>
      <c r="D197" t="s">
        <v>374</v>
      </c>
    </row>
    <row r="198" spans="1:4" x14ac:dyDescent="0.2">
      <c r="A198" t="s">
        <v>1388</v>
      </c>
      <c r="B198">
        <v>15</v>
      </c>
      <c r="C198" t="s">
        <v>20</v>
      </c>
      <c r="D198" t="s">
        <v>439</v>
      </c>
    </row>
    <row r="199" spans="1:4" x14ac:dyDescent="0.2">
      <c r="A199" t="s">
        <v>1388</v>
      </c>
      <c r="B199">
        <v>5</v>
      </c>
      <c r="C199" t="s">
        <v>20</v>
      </c>
      <c r="D199" t="s">
        <v>443</v>
      </c>
    </row>
    <row r="200" spans="1:4" x14ac:dyDescent="0.2">
      <c r="A200" t="s">
        <v>1388</v>
      </c>
      <c r="B200">
        <v>40</v>
      </c>
      <c r="C200" t="s">
        <v>20</v>
      </c>
      <c r="D200" t="s">
        <v>448</v>
      </c>
    </row>
    <row r="201" spans="1:4" x14ac:dyDescent="0.2">
      <c r="A201" t="s">
        <v>1388</v>
      </c>
      <c r="B201">
        <v>40</v>
      </c>
      <c r="C201" t="s">
        <v>20</v>
      </c>
      <c r="D201" t="s">
        <v>468</v>
      </c>
    </row>
    <row r="202" spans="1:4" x14ac:dyDescent="0.2">
      <c r="A202" t="s">
        <v>1388</v>
      </c>
      <c r="B202">
        <v>35</v>
      </c>
      <c r="C202" t="s">
        <v>20</v>
      </c>
      <c r="D202" t="s">
        <v>555</v>
      </c>
    </row>
    <row r="203" spans="1:4" x14ac:dyDescent="0.2">
      <c r="A203" t="s">
        <v>1388</v>
      </c>
      <c r="B203">
        <v>100</v>
      </c>
      <c r="C203" t="s">
        <v>20</v>
      </c>
      <c r="D203" t="s">
        <v>579</v>
      </c>
    </row>
    <row r="204" spans="1:4" x14ac:dyDescent="0.2">
      <c r="A204" t="s">
        <v>1388</v>
      </c>
      <c r="B204">
        <v>75</v>
      </c>
      <c r="C204" t="s">
        <v>20</v>
      </c>
      <c r="D204" t="s">
        <v>579</v>
      </c>
    </row>
    <row r="205" spans="1:4" x14ac:dyDescent="0.2">
      <c r="A205" t="s">
        <v>1388</v>
      </c>
      <c r="B205">
        <v>40</v>
      </c>
      <c r="C205" t="s">
        <v>20</v>
      </c>
      <c r="D205" t="s">
        <v>581</v>
      </c>
    </row>
    <row r="206" spans="1:4" x14ac:dyDescent="0.2">
      <c r="A206" t="s">
        <v>1388</v>
      </c>
      <c r="B206">
        <v>5</v>
      </c>
      <c r="C206" t="s">
        <v>20</v>
      </c>
      <c r="D206" t="s">
        <v>612</v>
      </c>
    </row>
    <row r="207" spans="1:4" x14ac:dyDescent="0.2">
      <c r="A207" t="s">
        <v>1388</v>
      </c>
      <c r="B207">
        <v>40</v>
      </c>
      <c r="C207" t="s">
        <v>20</v>
      </c>
      <c r="D207" t="s">
        <v>631</v>
      </c>
    </row>
    <row r="208" spans="1:4" x14ac:dyDescent="0.2">
      <c r="A208" t="s">
        <v>1388</v>
      </c>
      <c r="B208">
        <v>5</v>
      </c>
      <c r="C208" t="s">
        <v>20</v>
      </c>
      <c r="D208" t="s">
        <v>642</v>
      </c>
    </row>
    <row r="209" spans="1:4" x14ac:dyDescent="0.2">
      <c r="A209" t="s">
        <v>1388</v>
      </c>
      <c r="B209">
        <v>2</v>
      </c>
      <c r="C209" t="s">
        <v>20</v>
      </c>
      <c r="D209" t="s">
        <v>642</v>
      </c>
    </row>
    <row r="210" spans="1:4" x14ac:dyDescent="0.2">
      <c r="A210" t="s">
        <v>1388</v>
      </c>
      <c r="B210">
        <v>5</v>
      </c>
      <c r="C210" t="s">
        <v>20</v>
      </c>
      <c r="D210" t="s">
        <v>647</v>
      </c>
    </row>
    <row r="211" spans="1:4" x14ac:dyDescent="0.2">
      <c r="A211" t="s">
        <v>1388</v>
      </c>
      <c r="B211">
        <v>40</v>
      </c>
      <c r="C211" t="s">
        <v>20</v>
      </c>
      <c r="D211" t="s">
        <v>676</v>
      </c>
    </row>
    <row r="212" spans="1:4" x14ac:dyDescent="0.2">
      <c r="A212" t="s">
        <v>1388</v>
      </c>
      <c r="B212">
        <v>50</v>
      </c>
      <c r="C212" t="s">
        <v>20</v>
      </c>
      <c r="D212" t="s">
        <v>745</v>
      </c>
    </row>
    <row r="213" spans="1:4" x14ac:dyDescent="0.2">
      <c r="A213" t="s">
        <v>1388</v>
      </c>
      <c r="B213">
        <v>40</v>
      </c>
      <c r="C213" t="s">
        <v>20</v>
      </c>
      <c r="D213" t="s">
        <v>777</v>
      </c>
    </row>
    <row r="214" spans="1:4" x14ac:dyDescent="0.2">
      <c r="A214" t="s">
        <v>1388</v>
      </c>
      <c r="B214">
        <v>225</v>
      </c>
      <c r="C214" t="s">
        <v>20</v>
      </c>
      <c r="D214" t="s">
        <v>779</v>
      </c>
    </row>
    <row r="215" spans="1:4" x14ac:dyDescent="0.2">
      <c r="A215" t="s">
        <v>1388</v>
      </c>
      <c r="B215">
        <v>20</v>
      </c>
      <c r="C215" t="s">
        <v>20</v>
      </c>
      <c r="D215" t="s">
        <v>809</v>
      </c>
    </row>
    <row r="216" spans="1:4" x14ac:dyDescent="0.2">
      <c r="A216" t="s">
        <v>1388</v>
      </c>
      <c r="B216">
        <v>2</v>
      </c>
      <c r="C216" t="s">
        <v>20</v>
      </c>
      <c r="D216" t="s">
        <v>834</v>
      </c>
    </row>
    <row r="217" spans="1:4" x14ac:dyDescent="0.2">
      <c r="A217" t="s">
        <v>1388</v>
      </c>
      <c r="B217">
        <v>7</v>
      </c>
      <c r="C217" t="s">
        <v>20</v>
      </c>
      <c r="D217" t="s">
        <v>922</v>
      </c>
    </row>
    <row r="218" spans="1:4" x14ac:dyDescent="0.2">
      <c r="A218" t="s">
        <v>1388</v>
      </c>
      <c r="B218">
        <v>7</v>
      </c>
      <c r="C218" t="s">
        <v>20</v>
      </c>
      <c r="D218" t="s">
        <v>922</v>
      </c>
    </row>
    <row r="219" spans="1:4" x14ac:dyDescent="0.2">
      <c r="A219" t="s">
        <v>1388</v>
      </c>
      <c r="B219">
        <v>7</v>
      </c>
      <c r="C219" t="s">
        <v>20</v>
      </c>
      <c r="D219" t="s">
        <v>922</v>
      </c>
    </row>
    <row r="220" spans="1:4" x14ac:dyDescent="0.2">
      <c r="A220" t="s">
        <v>1388</v>
      </c>
      <c r="B220">
        <v>45</v>
      </c>
      <c r="C220" t="s">
        <v>20</v>
      </c>
      <c r="D220" t="s">
        <v>933</v>
      </c>
    </row>
    <row r="221" spans="1:4" x14ac:dyDescent="0.2">
      <c r="A221" t="s">
        <v>1388</v>
      </c>
      <c r="B221">
        <v>65</v>
      </c>
      <c r="C221" t="s">
        <v>20</v>
      </c>
      <c r="D221" t="s">
        <v>945</v>
      </c>
    </row>
    <row r="222" spans="1:4" x14ac:dyDescent="0.2">
      <c r="A222" t="s">
        <v>1388</v>
      </c>
      <c r="B222">
        <v>66</v>
      </c>
      <c r="C222" t="s">
        <v>20</v>
      </c>
      <c r="D222" t="s">
        <v>988</v>
      </c>
    </row>
    <row r="223" spans="1:4" x14ac:dyDescent="0.2">
      <c r="A223" t="s">
        <v>1388</v>
      </c>
      <c r="B223">
        <v>9</v>
      </c>
      <c r="C223" t="s">
        <v>20</v>
      </c>
      <c r="D223" t="s">
        <v>1003</v>
      </c>
    </row>
    <row r="224" spans="1:4" x14ac:dyDescent="0.2">
      <c r="A224" t="s">
        <v>1392</v>
      </c>
      <c r="B224">
        <v>20</v>
      </c>
      <c r="C224" t="s">
        <v>20</v>
      </c>
      <c r="D224" t="s">
        <v>34</v>
      </c>
    </row>
    <row r="225" spans="1:4" x14ac:dyDescent="0.2">
      <c r="A225" t="s">
        <v>1392</v>
      </c>
      <c r="B225">
        <v>40</v>
      </c>
      <c r="C225" t="s">
        <v>20</v>
      </c>
      <c r="D225" t="s">
        <v>45</v>
      </c>
    </row>
    <row r="226" spans="1:4" x14ac:dyDescent="0.2">
      <c r="A226" t="s">
        <v>1392</v>
      </c>
      <c r="B226">
        <v>40</v>
      </c>
      <c r="C226" t="s">
        <v>20</v>
      </c>
      <c r="D226" t="s">
        <v>100</v>
      </c>
    </row>
    <row r="227" spans="1:4" x14ac:dyDescent="0.2">
      <c r="A227" t="s">
        <v>1392</v>
      </c>
      <c r="B227">
        <v>60</v>
      </c>
      <c r="C227" t="s">
        <v>20</v>
      </c>
      <c r="D227" t="s">
        <v>146</v>
      </c>
    </row>
    <row r="228" spans="1:4" x14ac:dyDescent="0.2">
      <c r="A228" t="s">
        <v>1392</v>
      </c>
      <c r="B228">
        <v>10</v>
      </c>
      <c r="C228" t="s">
        <v>20</v>
      </c>
      <c r="D228" t="s">
        <v>178</v>
      </c>
    </row>
    <row r="229" spans="1:4" x14ac:dyDescent="0.2">
      <c r="A229" t="s">
        <v>1392</v>
      </c>
      <c r="B229">
        <v>22</v>
      </c>
      <c r="C229" t="s">
        <v>20</v>
      </c>
      <c r="D229" t="s">
        <v>204</v>
      </c>
    </row>
    <row r="230" spans="1:4" x14ac:dyDescent="0.2">
      <c r="A230" t="s">
        <v>1392</v>
      </c>
      <c r="B230">
        <v>10</v>
      </c>
      <c r="C230" t="s">
        <v>20</v>
      </c>
      <c r="D230" t="s">
        <v>228</v>
      </c>
    </row>
    <row r="231" spans="1:4" x14ac:dyDescent="0.2">
      <c r="A231" t="s">
        <v>1392</v>
      </c>
      <c r="B231">
        <v>10</v>
      </c>
      <c r="C231" t="s">
        <v>20</v>
      </c>
      <c r="D231" t="s">
        <v>223</v>
      </c>
    </row>
    <row r="232" spans="1:4" x14ac:dyDescent="0.2">
      <c r="A232" t="s">
        <v>1392</v>
      </c>
      <c r="B232">
        <v>60</v>
      </c>
      <c r="C232" t="s">
        <v>20</v>
      </c>
      <c r="D232" t="s">
        <v>243</v>
      </c>
    </row>
    <row r="233" spans="1:4" x14ac:dyDescent="0.2">
      <c r="A233" t="s">
        <v>1392</v>
      </c>
      <c r="B233">
        <v>50</v>
      </c>
      <c r="C233" t="s">
        <v>20</v>
      </c>
      <c r="D233" t="s">
        <v>248</v>
      </c>
    </row>
    <row r="234" spans="1:4" x14ac:dyDescent="0.2">
      <c r="A234" t="s">
        <v>1392</v>
      </c>
      <c r="B234">
        <v>20</v>
      </c>
      <c r="C234" t="s">
        <v>20</v>
      </c>
      <c r="D234" t="s">
        <v>263</v>
      </c>
    </row>
    <row r="235" spans="1:4" x14ac:dyDescent="0.2">
      <c r="A235" t="s">
        <v>1392</v>
      </c>
      <c r="B235">
        <v>5</v>
      </c>
      <c r="C235" t="s">
        <v>20</v>
      </c>
      <c r="D235" t="s">
        <v>271</v>
      </c>
    </row>
    <row r="236" spans="1:4" x14ac:dyDescent="0.2">
      <c r="A236" t="s">
        <v>1392</v>
      </c>
      <c r="B236">
        <v>10</v>
      </c>
      <c r="C236" t="s">
        <v>20</v>
      </c>
      <c r="D236" t="s">
        <v>276</v>
      </c>
    </row>
    <row r="237" spans="1:4" x14ac:dyDescent="0.2">
      <c r="A237" t="s">
        <v>1392</v>
      </c>
      <c r="B237">
        <v>15</v>
      </c>
      <c r="C237" t="s">
        <v>20</v>
      </c>
      <c r="D237" t="s">
        <v>311</v>
      </c>
    </row>
    <row r="238" spans="1:4" x14ac:dyDescent="0.2">
      <c r="A238" t="s">
        <v>1392</v>
      </c>
      <c r="B238">
        <v>2</v>
      </c>
      <c r="C238" t="s">
        <v>20</v>
      </c>
      <c r="D238" t="s">
        <v>327</v>
      </c>
    </row>
    <row r="239" spans="1:4" x14ac:dyDescent="0.2">
      <c r="A239" t="s">
        <v>1392</v>
      </c>
      <c r="B239">
        <v>2</v>
      </c>
      <c r="C239" t="s">
        <v>20</v>
      </c>
      <c r="D239" t="s">
        <v>329</v>
      </c>
    </row>
    <row r="240" spans="1:4" x14ac:dyDescent="0.2">
      <c r="A240" t="s">
        <v>1392</v>
      </c>
      <c r="B240">
        <v>5</v>
      </c>
      <c r="C240" t="s">
        <v>20</v>
      </c>
      <c r="D240" t="s">
        <v>339</v>
      </c>
    </row>
    <row r="241" spans="1:4" x14ac:dyDescent="0.2">
      <c r="A241" t="s">
        <v>1392</v>
      </c>
      <c r="B241">
        <v>10</v>
      </c>
      <c r="C241" t="s">
        <v>20</v>
      </c>
      <c r="D241" t="s">
        <v>371</v>
      </c>
    </row>
    <row r="242" spans="1:4" x14ac:dyDescent="0.2">
      <c r="A242" t="s">
        <v>1392</v>
      </c>
      <c r="B242">
        <v>10</v>
      </c>
      <c r="C242" t="s">
        <v>20</v>
      </c>
      <c r="D242" t="s">
        <v>374</v>
      </c>
    </row>
    <row r="243" spans="1:4" x14ac:dyDescent="0.2">
      <c r="A243" t="s">
        <v>1392</v>
      </c>
      <c r="B243">
        <v>10</v>
      </c>
      <c r="C243" t="s">
        <v>20</v>
      </c>
      <c r="D243" t="s">
        <v>393</v>
      </c>
    </row>
    <row r="244" spans="1:4" x14ac:dyDescent="0.2">
      <c r="A244" t="s">
        <v>1392</v>
      </c>
      <c r="B244">
        <v>10</v>
      </c>
      <c r="C244" t="s">
        <v>20</v>
      </c>
      <c r="D244" t="s">
        <v>439</v>
      </c>
    </row>
    <row r="245" spans="1:4" x14ac:dyDescent="0.2">
      <c r="A245" t="s">
        <v>1392</v>
      </c>
      <c r="B245">
        <v>5</v>
      </c>
      <c r="C245" t="s">
        <v>20</v>
      </c>
      <c r="D245" t="s">
        <v>448</v>
      </c>
    </row>
    <row r="246" spans="1:4" x14ac:dyDescent="0.2">
      <c r="A246" t="s">
        <v>1392</v>
      </c>
      <c r="B246">
        <v>10</v>
      </c>
      <c r="C246" t="s">
        <v>20</v>
      </c>
      <c r="D246" t="s">
        <v>468</v>
      </c>
    </row>
    <row r="247" spans="1:4" x14ac:dyDescent="0.2">
      <c r="A247" t="s">
        <v>1392</v>
      </c>
      <c r="B247">
        <v>8</v>
      </c>
      <c r="C247" t="s">
        <v>20</v>
      </c>
      <c r="D247" t="s">
        <v>1129</v>
      </c>
    </row>
    <row r="248" spans="1:4" x14ac:dyDescent="0.2">
      <c r="A248" t="s">
        <v>1392</v>
      </c>
      <c r="B248">
        <v>5</v>
      </c>
      <c r="C248" t="s">
        <v>20</v>
      </c>
      <c r="D248" t="s">
        <v>534</v>
      </c>
    </row>
    <row r="249" spans="1:4" x14ac:dyDescent="0.2">
      <c r="A249" t="s">
        <v>1392</v>
      </c>
      <c r="B249">
        <v>50</v>
      </c>
      <c r="C249" t="s">
        <v>20</v>
      </c>
      <c r="D249" t="s">
        <v>579</v>
      </c>
    </row>
    <row r="250" spans="1:4" x14ac:dyDescent="0.2">
      <c r="A250" t="s">
        <v>1392</v>
      </c>
      <c r="B250">
        <v>40</v>
      </c>
      <c r="C250" t="s">
        <v>20</v>
      </c>
      <c r="D250" t="s">
        <v>581</v>
      </c>
    </row>
    <row r="251" spans="1:4" x14ac:dyDescent="0.2">
      <c r="A251" t="s">
        <v>1392</v>
      </c>
      <c r="B251">
        <v>2</v>
      </c>
      <c r="C251" t="s">
        <v>20</v>
      </c>
      <c r="D251" t="s">
        <v>612</v>
      </c>
    </row>
    <row r="252" spans="1:4" x14ac:dyDescent="0.2">
      <c r="A252" t="s">
        <v>1392</v>
      </c>
      <c r="B252">
        <v>10</v>
      </c>
      <c r="C252" t="s">
        <v>20</v>
      </c>
      <c r="D252" t="s">
        <v>631</v>
      </c>
    </row>
    <row r="253" spans="1:4" x14ac:dyDescent="0.2">
      <c r="A253" t="s">
        <v>1392</v>
      </c>
      <c r="B253">
        <v>10</v>
      </c>
      <c r="C253" t="s">
        <v>20</v>
      </c>
      <c r="D253" t="s">
        <v>654</v>
      </c>
    </row>
    <row r="254" spans="1:4" x14ac:dyDescent="0.2">
      <c r="A254" t="s">
        <v>1392</v>
      </c>
      <c r="B254">
        <v>10</v>
      </c>
      <c r="C254" t="s">
        <v>20</v>
      </c>
      <c r="D254" t="s">
        <v>676</v>
      </c>
    </row>
    <row r="255" spans="1:4" x14ac:dyDescent="0.2">
      <c r="A255" t="s">
        <v>1392</v>
      </c>
      <c r="B255">
        <v>20</v>
      </c>
      <c r="C255" t="s">
        <v>20</v>
      </c>
      <c r="D255" t="s">
        <v>745</v>
      </c>
    </row>
    <row r="256" spans="1:4" x14ac:dyDescent="0.2">
      <c r="A256" t="s">
        <v>1392</v>
      </c>
      <c r="B256">
        <v>50</v>
      </c>
      <c r="C256" t="s">
        <v>20</v>
      </c>
      <c r="D256" t="s">
        <v>779</v>
      </c>
    </row>
    <row r="257" spans="1:4" x14ac:dyDescent="0.2">
      <c r="A257" t="s">
        <v>1392</v>
      </c>
      <c r="B257">
        <v>10</v>
      </c>
      <c r="C257" t="s">
        <v>20</v>
      </c>
      <c r="D257" t="s">
        <v>922</v>
      </c>
    </row>
    <row r="258" spans="1:4" x14ac:dyDescent="0.2">
      <c r="A258" t="s">
        <v>1392</v>
      </c>
      <c r="B258">
        <v>35</v>
      </c>
      <c r="C258" t="s">
        <v>20</v>
      </c>
      <c r="D258" t="s">
        <v>945</v>
      </c>
    </row>
    <row r="259" spans="1:4" x14ac:dyDescent="0.2">
      <c r="A259" t="s">
        <v>1392</v>
      </c>
      <c r="B259">
        <v>18</v>
      </c>
      <c r="C259" t="s">
        <v>20</v>
      </c>
      <c r="D259" t="s">
        <v>1003</v>
      </c>
    </row>
    <row r="260" spans="1:4" x14ac:dyDescent="0.2">
      <c r="A260" t="s">
        <v>1393</v>
      </c>
      <c r="B260">
        <v>80</v>
      </c>
      <c r="C260" t="s">
        <v>20</v>
      </c>
      <c r="D260" t="s">
        <v>45</v>
      </c>
    </row>
    <row r="261" spans="1:4" x14ac:dyDescent="0.2">
      <c r="A261" t="s">
        <v>1393</v>
      </c>
      <c r="B261">
        <v>40</v>
      </c>
      <c r="C261" t="s">
        <v>20</v>
      </c>
      <c r="D261" t="s">
        <v>146</v>
      </c>
    </row>
    <row r="262" spans="1:4" x14ac:dyDescent="0.2">
      <c r="A262" t="s">
        <v>1393</v>
      </c>
      <c r="B262">
        <v>40</v>
      </c>
      <c r="C262" t="s">
        <v>20</v>
      </c>
      <c r="D262" t="s">
        <v>151</v>
      </c>
    </row>
    <row r="263" spans="1:4" x14ac:dyDescent="0.2">
      <c r="A263" t="s">
        <v>1393</v>
      </c>
      <c r="B263">
        <v>20</v>
      </c>
      <c r="C263" t="s">
        <v>20</v>
      </c>
      <c r="D263" t="s">
        <v>190</v>
      </c>
    </row>
    <row r="264" spans="1:4" x14ac:dyDescent="0.2">
      <c r="A264" t="s">
        <v>1393</v>
      </c>
      <c r="B264">
        <v>40</v>
      </c>
      <c r="C264" t="s">
        <v>20</v>
      </c>
      <c r="D264" t="s">
        <v>228</v>
      </c>
    </row>
    <row r="265" spans="1:4" x14ac:dyDescent="0.2">
      <c r="A265" t="s">
        <v>1393</v>
      </c>
      <c r="B265">
        <v>25</v>
      </c>
      <c r="C265" t="s">
        <v>20</v>
      </c>
      <c r="D265" t="s">
        <v>223</v>
      </c>
    </row>
    <row r="266" spans="1:4" x14ac:dyDescent="0.2">
      <c r="A266" t="s">
        <v>1393</v>
      </c>
      <c r="B266">
        <v>40</v>
      </c>
      <c r="C266" t="s">
        <v>20</v>
      </c>
      <c r="D266" t="s">
        <v>243</v>
      </c>
    </row>
    <row r="267" spans="1:4" x14ac:dyDescent="0.2">
      <c r="A267" t="s">
        <v>1393</v>
      </c>
      <c r="B267">
        <v>100</v>
      </c>
      <c r="C267" t="s">
        <v>20</v>
      </c>
      <c r="D267" t="s">
        <v>248</v>
      </c>
    </row>
    <row r="268" spans="1:4" x14ac:dyDescent="0.2">
      <c r="A268" t="s">
        <v>1393</v>
      </c>
      <c r="B268">
        <v>10</v>
      </c>
      <c r="C268" t="s">
        <v>20</v>
      </c>
      <c r="D268" t="s">
        <v>260</v>
      </c>
    </row>
    <row r="269" spans="1:4" x14ac:dyDescent="0.2">
      <c r="A269" t="s">
        <v>1393</v>
      </c>
      <c r="B269">
        <v>20</v>
      </c>
      <c r="C269" t="s">
        <v>20</v>
      </c>
      <c r="D269" t="s">
        <v>276</v>
      </c>
    </row>
    <row r="270" spans="1:4" x14ac:dyDescent="0.2">
      <c r="A270" t="s">
        <v>1393</v>
      </c>
      <c r="B270">
        <v>35</v>
      </c>
      <c r="C270" t="s">
        <v>20</v>
      </c>
      <c r="D270" t="s">
        <v>311</v>
      </c>
    </row>
    <row r="271" spans="1:4" x14ac:dyDescent="0.2">
      <c r="A271" t="s">
        <v>1393</v>
      </c>
      <c r="B271">
        <v>10</v>
      </c>
      <c r="C271" t="s">
        <v>20</v>
      </c>
      <c r="D271" t="s">
        <v>327</v>
      </c>
    </row>
    <row r="272" spans="1:4" x14ac:dyDescent="0.2">
      <c r="A272" t="s">
        <v>1393</v>
      </c>
      <c r="B272">
        <v>25</v>
      </c>
      <c r="C272" t="s">
        <v>20</v>
      </c>
      <c r="D272" t="s">
        <v>339</v>
      </c>
    </row>
    <row r="273" spans="1:4" x14ac:dyDescent="0.2">
      <c r="A273" t="s">
        <v>1393</v>
      </c>
      <c r="B273">
        <v>5</v>
      </c>
      <c r="C273" t="s">
        <v>20</v>
      </c>
      <c r="D273" t="s">
        <v>371</v>
      </c>
    </row>
    <row r="274" spans="1:4" x14ac:dyDescent="0.2">
      <c r="A274" t="s">
        <v>1393</v>
      </c>
      <c r="B274">
        <v>10</v>
      </c>
      <c r="C274" t="s">
        <v>20</v>
      </c>
      <c r="D274" t="s">
        <v>1158</v>
      </c>
    </row>
    <row r="275" spans="1:4" x14ac:dyDescent="0.2">
      <c r="A275" t="s">
        <v>1393</v>
      </c>
      <c r="B275">
        <v>40</v>
      </c>
      <c r="C275" t="s">
        <v>20</v>
      </c>
      <c r="D275" t="s">
        <v>448</v>
      </c>
    </row>
    <row r="276" spans="1:4" x14ac:dyDescent="0.2">
      <c r="A276" t="s">
        <v>1393</v>
      </c>
      <c r="B276">
        <v>40</v>
      </c>
      <c r="C276" t="s">
        <v>20</v>
      </c>
      <c r="D276" t="s">
        <v>468</v>
      </c>
    </row>
    <row r="277" spans="1:4" x14ac:dyDescent="0.2">
      <c r="A277" t="s">
        <v>1393</v>
      </c>
      <c r="B277">
        <v>65</v>
      </c>
      <c r="C277" t="s">
        <v>20</v>
      </c>
      <c r="D277" t="s">
        <v>579</v>
      </c>
    </row>
    <row r="278" spans="1:4" x14ac:dyDescent="0.2">
      <c r="A278" t="s">
        <v>1393</v>
      </c>
      <c r="B278">
        <v>80</v>
      </c>
      <c r="C278" t="s">
        <v>20</v>
      </c>
      <c r="D278" t="s">
        <v>581</v>
      </c>
    </row>
    <row r="279" spans="1:4" x14ac:dyDescent="0.2">
      <c r="A279" t="s">
        <v>1393</v>
      </c>
      <c r="B279">
        <v>20</v>
      </c>
      <c r="C279" t="s">
        <v>20</v>
      </c>
      <c r="D279" t="s">
        <v>631</v>
      </c>
    </row>
    <row r="280" spans="1:4" x14ac:dyDescent="0.2">
      <c r="A280" t="s">
        <v>1393</v>
      </c>
      <c r="B280">
        <v>5</v>
      </c>
      <c r="C280" t="s">
        <v>20</v>
      </c>
      <c r="D280" t="s">
        <v>642</v>
      </c>
    </row>
    <row r="281" spans="1:4" x14ac:dyDescent="0.2">
      <c r="A281" t="s">
        <v>1393</v>
      </c>
      <c r="B281">
        <v>2</v>
      </c>
      <c r="C281" t="s">
        <v>20</v>
      </c>
      <c r="D281" t="s">
        <v>647</v>
      </c>
    </row>
    <row r="282" spans="1:4" x14ac:dyDescent="0.2">
      <c r="A282" t="s">
        <v>1393</v>
      </c>
      <c r="B282">
        <v>25</v>
      </c>
      <c r="C282" t="s">
        <v>20</v>
      </c>
      <c r="D282" t="s">
        <v>676</v>
      </c>
    </row>
    <row r="283" spans="1:4" x14ac:dyDescent="0.2">
      <c r="A283" t="s">
        <v>1393</v>
      </c>
      <c r="B283">
        <v>25</v>
      </c>
      <c r="C283" t="s">
        <v>20</v>
      </c>
      <c r="D283" t="s">
        <v>745</v>
      </c>
    </row>
    <row r="284" spans="1:4" x14ac:dyDescent="0.2">
      <c r="A284" t="s">
        <v>1393</v>
      </c>
      <c r="B284">
        <v>100</v>
      </c>
      <c r="C284" t="s">
        <v>20</v>
      </c>
      <c r="D284" t="s">
        <v>779</v>
      </c>
    </row>
    <row r="285" spans="1:4" x14ac:dyDescent="0.2">
      <c r="A285" t="s">
        <v>1393</v>
      </c>
      <c r="B285">
        <v>10</v>
      </c>
      <c r="C285" t="s">
        <v>20</v>
      </c>
      <c r="D285" t="s">
        <v>889</v>
      </c>
    </row>
    <row r="286" spans="1:4" x14ac:dyDescent="0.2">
      <c r="A286" t="s">
        <v>1393</v>
      </c>
      <c r="B286">
        <v>10</v>
      </c>
      <c r="C286" t="s">
        <v>20</v>
      </c>
      <c r="D286" t="s">
        <v>905</v>
      </c>
    </row>
    <row r="287" spans="1:4" x14ac:dyDescent="0.2">
      <c r="A287" t="s">
        <v>1393</v>
      </c>
      <c r="B287">
        <v>10</v>
      </c>
      <c r="C287" t="s">
        <v>20</v>
      </c>
      <c r="D287" t="s">
        <v>922</v>
      </c>
    </row>
    <row r="288" spans="1:4" x14ac:dyDescent="0.2">
      <c r="A288" t="s">
        <v>1393</v>
      </c>
      <c r="B288">
        <v>75</v>
      </c>
      <c r="C288" t="s">
        <v>20</v>
      </c>
      <c r="D288" t="s">
        <v>945</v>
      </c>
    </row>
    <row r="289" spans="1:4" x14ac:dyDescent="0.2">
      <c r="A289" t="s">
        <v>1393</v>
      </c>
      <c r="B289">
        <v>10</v>
      </c>
      <c r="C289" t="s">
        <v>20</v>
      </c>
      <c r="D289" t="s">
        <v>1003</v>
      </c>
    </row>
    <row r="290" spans="1:4" x14ac:dyDescent="0.2">
      <c r="A290" t="s">
        <v>1394</v>
      </c>
      <c r="B290">
        <v>20</v>
      </c>
      <c r="C290" t="s">
        <v>20</v>
      </c>
      <c r="D290" t="s">
        <v>45</v>
      </c>
    </row>
    <row r="291" spans="1:4" x14ac:dyDescent="0.2">
      <c r="A291" t="s">
        <v>1394</v>
      </c>
      <c r="B291">
        <v>20</v>
      </c>
      <c r="C291" t="s">
        <v>20</v>
      </c>
      <c r="D291" t="s">
        <v>146</v>
      </c>
    </row>
    <row r="292" spans="1:4" x14ac:dyDescent="0.2">
      <c r="A292" t="s">
        <v>1394</v>
      </c>
      <c r="B292">
        <v>10</v>
      </c>
      <c r="C292" t="s">
        <v>20</v>
      </c>
      <c r="D292" t="s">
        <v>190</v>
      </c>
    </row>
    <row r="293" spans="1:4" x14ac:dyDescent="0.2">
      <c r="A293" t="s">
        <v>1394</v>
      </c>
      <c r="B293">
        <v>11</v>
      </c>
      <c r="C293" t="s">
        <v>20</v>
      </c>
      <c r="D293" t="s">
        <v>204</v>
      </c>
    </row>
    <row r="294" spans="1:4" x14ac:dyDescent="0.2">
      <c r="A294" t="s">
        <v>1394</v>
      </c>
      <c r="B294">
        <v>5</v>
      </c>
      <c r="C294" t="s">
        <v>20</v>
      </c>
      <c r="D294" t="s">
        <v>228</v>
      </c>
    </row>
    <row r="295" spans="1:4" x14ac:dyDescent="0.2">
      <c r="A295" t="s">
        <v>1394</v>
      </c>
      <c r="B295">
        <v>5</v>
      </c>
      <c r="C295" t="s">
        <v>20</v>
      </c>
      <c r="D295" t="s">
        <v>221</v>
      </c>
    </row>
    <row r="296" spans="1:4" x14ac:dyDescent="0.2">
      <c r="A296" t="s">
        <v>1394</v>
      </c>
      <c r="B296">
        <v>25</v>
      </c>
      <c r="C296" t="s">
        <v>20</v>
      </c>
      <c r="D296" t="s">
        <v>223</v>
      </c>
    </row>
    <row r="297" spans="1:4" x14ac:dyDescent="0.2">
      <c r="A297" t="s">
        <v>1394</v>
      </c>
      <c r="B297">
        <v>10</v>
      </c>
      <c r="C297" t="s">
        <v>20</v>
      </c>
      <c r="D297" t="s">
        <v>263</v>
      </c>
    </row>
    <row r="298" spans="1:4" x14ac:dyDescent="0.2">
      <c r="A298" t="s">
        <v>1394</v>
      </c>
      <c r="B298">
        <v>10</v>
      </c>
      <c r="C298" t="s">
        <v>20</v>
      </c>
      <c r="D298" t="s">
        <v>274</v>
      </c>
    </row>
    <row r="299" spans="1:4" x14ac:dyDescent="0.2">
      <c r="A299" t="s">
        <v>1394</v>
      </c>
      <c r="B299">
        <v>10</v>
      </c>
      <c r="C299" t="s">
        <v>20</v>
      </c>
      <c r="D299" t="s">
        <v>311</v>
      </c>
    </row>
    <row r="300" spans="1:4" x14ac:dyDescent="0.2">
      <c r="A300" t="s">
        <v>1394</v>
      </c>
      <c r="B300">
        <v>5</v>
      </c>
      <c r="C300" t="s">
        <v>20</v>
      </c>
      <c r="D300" t="s">
        <v>327</v>
      </c>
    </row>
    <row r="301" spans="1:4" x14ac:dyDescent="0.2">
      <c r="A301" t="s">
        <v>1394</v>
      </c>
      <c r="B301">
        <v>10</v>
      </c>
      <c r="C301" t="s">
        <v>20</v>
      </c>
      <c r="D301" t="s">
        <v>339</v>
      </c>
    </row>
    <row r="302" spans="1:4" x14ac:dyDescent="0.2">
      <c r="A302" t="s">
        <v>1394</v>
      </c>
      <c r="B302">
        <v>5</v>
      </c>
      <c r="C302" t="s">
        <v>20</v>
      </c>
      <c r="D302" t="s">
        <v>357</v>
      </c>
    </row>
    <row r="303" spans="1:4" x14ac:dyDescent="0.2">
      <c r="A303" t="s">
        <v>1394</v>
      </c>
      <c r="B303">
        <v>10</v>
      </c>
      <c r="C303" t="s">
        <v>20</v>
      </c>
      <c r="D303" t="s">
        <v>371</v>
      </c>
    </row>
    <row r="304" spans="1:4" x14ac:dyDescent="0.2">
      <c r="A304" t="s">
        <v>1394</v>
      </c>
      <c r="B304">
        <v>9</v>
      </c>
      <c r="C304" t="s">
        <v>20</v>
      </c>
      <c r="D304" t="s">
        <v>393</v>
      </c>
    </row>
    <row r="305" spans="1:4" x14ac:dyDescent="0.2">
      <c r="A305" t="s">
        <v>1394</v>
      </c>
      <c r="B305">
        <v>5</v>
      </c>
      <c r="C305" t="s">
        <v>20</v>
      </c>
      <c r="D305" t="s">
        <v>439</v>
      </c>
    </row>
    <row r="306" spans="1:4" x14ac:dyDescent="0.2">
      <c r="A306" t="s">
        <v>1394</v>
      </c>
      <c r="B306">
        <v>10</v>
      </c>
      <c r="C306" t="s">
        <v>20</v>
      </c>
      <c r="D306" t="s">
        <v>448</v>
      </c>
    </row>
    <row r="307" spans="1:4" x14ac:dyDescent="0.2">
      <c r="A307" t="s">
        <v>1394</v>
      </c>
      <c r="B307">
        <v>20</v>
      </c>
      <c r="C307" t="s">
        <v>20</v>
      </c>
      <c r="D307" t="s">
        <v>468</v>
      </c>
    </row>
    <row r="308" spans="1:4" x14ac:dyDescent="0.2">
      <c r="A308" t="s">
        <v>1394</v>
      </c>
      <c r="B308">
        <v>5</v>
      </c>
      <c r="C308" t="s">
        <v>20</v>
      </c>
      <c r="D308" t="s">
        <v>495</v>
      </c>
    </row>
    <row r="309" spans="1:4" x14ac:dyDescent="0.2">
      <c r="A309" t="s">
        <v>1394</v>
      </c>
      <c r="B309">
        <v>10</v>
      </c>
      <c r="C309" t="s">
        <v>20</v>
      </c>
      <c r="D309" t="s">
        <v>534</v>
      </c>
    </row>
    <row r="310" spans="1:4" x14ac:dyDescent="0.2">
      <c r="A310" t="s">
        <v>1394</v>
      </c>
      <c r="B310">
        <v>10</v>
      </c>
      <c r="C310" t="s">
        <v>20</v>
      </c>
      <c r="D310" t="s">
        <v>581</v>
      </c>
    </row>
    <row r="311" spans="1:4" x14ac:dyDescent="0.2">
      <c r="A311" t="s">
        <v>1394</v>
      </c>
      <c r="B311">
        <v>2</v>
      </c>
      <c r="C311" t="s">
        <v>20</v>
      </c>
      <c r="D311" t="s">
        <v>612</v>
      </c>
    </row>
    <row r="312" spans="1:4" x14ac:dyDescent="0.2">
      <c r="A312" t="s">
        <v>1394</v>
      </c>
      <c r="B312">
        <v>10</v>
      </c>
      <c r="C312" t="s">
        <v>20</v>
      </c>
      <c r="D312" t="s">
        <v>654</v>
      </c>
    </row>
    <row r="313" spans="1:4" x14ac:dyDescent="0.2">
      <c r="A313" t="s">
        <v>1394</v>
      </c>
      <c r="B313">
        <v>10</v>
      </c>
      <c r="C313" t="s">
        <v>20</v>
      </c>
      <c r="D313" t="s">
        <v>676</v>
      </c>
    </row>
    <row r="314" spans="1:4" x14ac:dyDescent="0.2">
      <c r="A314" t="s">
        <v>1394</v>
      </c>
      <c r="B314">
        <v>25</v>
      </c>
      <c r="C314" t="s">
        <v>20</v>
      </c>
      <c r="D314" t="s">
        <v>768</v>
      </c>
    </row>
    <row r="315" spans="1:4" x14ac:dyDescent="0.2">
      <c r="A315" t="s">
        <v>1394</v>
      </c>
      <c r="B315">
        <v>5</v>
      </c>
      <c r="C315" t="s">
        <v>20</v>
      </c>
      <c r="D315" t="s">
        <v>777</v>
      </c>
    </row>
    <row r="316" spans="1:4" x14ac:dyDescent="0.2">
      <c r="A316" t="s">
        <v>1394</v>
      </c>
      <c r="B316">
        <v>10</v>
      </c>
      <c r="C316" t="s">
        <v>20</v>
      </c>
      <c r="D316" t="s">
        <v>779</v>
      </c>
    </row>
    <row r="317" spans="1:4" x14ac:dyDescent="0.2">
      <c r="A317" t="s">
        <v>1394</v>
      </c>
      <c r="B317">
        <v>5</v>
      </c>
      <c r="C317" t="s">
        <v>20</v>
      </c>
      <c r="D317" t="s">
        <v>860</v>
      </c>
    </row>
    <row r="318" spans="1:4" x14ac:dyDescent="0.2">
      <c r="A318" t="s">
        <v>1394</v>
      </c>
      <c r="B318">
        <v>25</v>
      </c>
      <c r="C318" t="s">
        <v>20</v>
      </c>
      <c r="D318" t="s">
        <v>945</v>
      </c>
    </row>
    <row r="319" spans="1:4" x14ac:dyDescent="0.2">
      <c r="A319" t="s">
        <v>1394</v>
      </c>
      <c r="B319">
        <v>13</v>
      </c>
      <c r="C319" t="s">
        <v>20</v>
      </c>
      <c r="D319" t="s">
        <v>988</v>
      </c>
    </row>
    <row r="320" spans="1:4" x14ac:dyDescent="0.2">
      <c r="A320" t="s">
        <v>1394</v>
      </c>
      <c r="B320">
        <v>5</v>
      </c>
      <c r="C320" t="s">
        <v>20</v>
      </c>
      <c r="D320" t="s">
        <v>1003</v>
      </c>
    </row>
    <row r="321" spans="1:4" x14ac:dyDescent="0.2">
      <c r="A321" t="s">
        <v>1395</v>
      </c>
      <c r="B321">
        <v>20</v>
      </c>
      <c r="C321" t="s">
        <v>20</v>
      </c>
      <c r="D321" t="s">
        <v>45</v>
      </c>
    </row>
    <row r="322" spans="1:4" x14ac:dyDescent="0.2">
      <c r="A322" t="s">
        <v>1395</v>
      </c>
      <c r="B322">
        <v>25</v>
      </c>
      <c r="C322" t="s">
        <v>20</v>
      </c>
      <c r="D322" t="s">
        <v>128</v>
      </c>
    </row>
    <row r="323" spans="1:4" x14ac:dyDescent="0.2">
      <c r="A323" t="s">
        <v>1395</v>
      </c>
      <c r="B323">
        <v>40</v>
      </c>
      <c r="C323" t="s">
        <v>20</v>
      </c>
      <c r="D323" t="s">
        <v>146</v>
      </c>
    </row>
    <row r="324" spans="1:4" x14ac:dyDescent="0.2">
      <c r="A324" t="s">
        <v>1395</v>
      </c>
      <c r="B324">
        <v>5</v>
      </c>
      <c r="C324" t="s">
        <v>20</v>
      </c>
      <c r="D324" t="s">
        <v>178</v>
      </c>
    </row>
    <row r="325" spans="1:4" x14ac:dyDescent="0.2">
      <c r="A325" t="s">
        <v>1395</v>
      </c>
      <c r="B325">
        <v>10</v>
      </c>
      <c r="C325" t="s">
        <v>20</v>
      </c>
      <c r="D325" t="s">
        <v>190</v>
      </c>
    </row>
    <row r="326" spans="1:4" x14ac:dyDescent="0.2">
      <c r="A326" t="s">
        <v>1395</v>
      </c>
      <c r="B326">
        <v>33</v>
      </c>
      <c r="C326" t="s">
        <v>20</v>
      </c>
      <c r="D326" t="s">
        <v>204</v>
      </c>
    </row>
    <row r="327" spans="1:4" x14ac:dyDescent="0.2">
      <c r="A327" t="s">
        <v>1395</v>
      </c>
      <c r="B327">
        <v>40</v>
      </c>
      <c r="C327" t="s">
        <v>20</v>
      </c>
      <c r="D327" t="s">
        <v>228</v>
      </c>
    </row>
    <row r="328" spans="1:4" x14ac:dyDescent="0.2">
      <c r="A328" t="s">
        <v>1395</v>
      </c>
      <c r="B328">
        <v>35</v>
      </c>
      <c r="C328" t="s">
        <v>20</v>
      </c>
      <c r="D328" t="s">
        <v>223</v>
      </c>
    </row>
    <row r="329" spans="1:4" x14ac:dyDescent="0.2">
      <c r="A329" t="s">
        <v>1395</v>
      </c>
      <c r="B329">
        <v>40</v>
      </c>
      <c r="C329" t="s">
        <v>20</v>
      </c>
      <c r="D329" t="s">
        <v>243</v>
      </c>
    </row>
    <row r="330" spans="1:4" x14ac:dyDescent="0.2">
      <c r="A330" t="s">
        <v>1395</v>
      </c>
      <c r="B330">
        <v>50</v>
      </c>
      <c r="C330" t="s">
        <v>20</v>
      </c>
      <c r="D330" t="s">
        <v>248</v>
      </c>
    </row>
    <row r="331" spans="1:4" x14ac:dyDescent="0.2">
      <c r="A331" t="s">
        <v>1395</v>
      </c>
      <c r="B331">
        <v>2</v>
      </c>
      <c r="C331" t="s">
        <v>20</v>
      </c>
      <c r="D331" t="s">
        <v>271</v>
      </c>
    </row>
    <row r="332" spans="1:4" x14ac:dyDescent="0.2">
      <c r="A332" t="s">
        <v>1395</v>
      </c>
      <c r="B332">
        <v>10</v>
      </c>
      <c r="C332" t="s">
        <v>20</v>
      </c>
      <c r="D332" t="s">
        <v>276</v>
      </c>
    </row>
    <row r="333" spans="1:4" x14ac:dyDescent="0.2">
      <c r="A333" t="s">
        <v>1395</v>
      </c>
      <c r="B333">
        <v>1</v>
      </c>
      <c r="C333" t="s">
        <v>20</v>
      </c>
      <c r="D333" t="s">
        <v>299</v>
      </c>
    </row>
    <row r="334" spans="1:4" x14ac:dyDescent="0.2">
      <c r="A334" t="s">
        <v>1395</v>
      </c>
      <c r="B334">
        <v>25</v>
      </c>
      <c r="C334" t="s">
        <v>20</v>
      </c>
      <c r="D334" t="s">
        <v>311</v>
      </c>
    </row>
    <row r="335" spans="1:4" x14ac:dyDescent="0.2">
      <c r="A335" t="s">
        <v>1395</v>
      </c>
      <c r="B335">
        <v>25</v>
      </c>
      <c r="C335" t="s">
        <v>20</v>
      </c>
      <c r="D335" t="s">
        <v>339</v>
      </c>
    </row>
    <row r="336" spans="1:4" x14ac:dyDescent="0.2">
      <c r="A336" t="s">
        <v>1395</v>
      </c>
      <c r="B336">
        <v>40</v>
      </c>
      <c r="C336" t="s">
        <v>20</v>
      </c>
      <c r="D336" t="s">
        <v>1058</v>
      </c>
    </row>
    <row r="337" spans="1:4" x14ac:dyDescent="0.2">
      <c r="A337" t="s">
        <v>1395</v>
      </c>
      <c r="B337">
        <v>45</v>
      </c>
      <c r="C337" t="s">
        <v>20</v>
      </c>
      <c r="D337" t="s">
        <v>393</v>
      </c>
    </row>
    <row r="338" spans="1:4" x14ac:dyDescent="0.2">
      <c r="A338" t="s">
        <v>1395</v>
      </c>
      <c r="B338">
        <v>40</v>
      </c>
      <c r="C338" t="s">
        <v>20</v>
      </c>
      <c r="D338" t="s">
        <v>414</v>
      </c>
    </row>
    <row r="339" spans="1:4" x14ac:dyDescent="0.2">
      <c r="A339" t="s">
        <v>1395</v>
      </c>
      <c r="B339">
        <v>40</v>
      </c>
      <c r="C339" t="s">
        <v>20</v>
      </c>
      <c r="D339" t="s">
        <v>448</v>
      </c>
    </row>
    <row r="340" spans="1:4" x14ac:dyDescent="0.2">
      <c r="A340" t="s">
        <v>1395</v>
      </c>
      <c r="B340">
        <v>40</v>
      </c>
      <c r="C340" t="s">
        <v>20</v>
      </c>
      <c r="D340" t="s">
        <v>468</v>
      </c>
    </row>
    <row r="341" spans="1:4" x14ac:dyDescent="0.2">
      <c r="A341" t="s">
        <v>1395</v>
      </c>
      <c r="B341">
        <v>40</v>
      </c>
      <c r="C341" t="s">
        <v>20</v>
      </c>
      <c r="D341" t="s">
        <v>495</v>
      </c>
    </row>
    <row r="342" spans="1:4" x14ac:dyDescent="0.2">
      <c r="A342" t="s">
        <v>1395</v>
      </c>
      <c r="B342">
        <v>24</v>
      </c>
      <c r="C342" t="s">
        <v>20</v>
      </c>
      <c r="D342" t="s">
        <v>1129</v>
      </c>
    </row>
    <row r="343" spans="1:4" x14ac:dyDescent="0.2">
      <c r="A343" t="s">
        <v>1395</v>
      </c>
      <c r="B343">
        <v>10</v>
      </c>
      <c r="C343" t="s">
        <v>20</v>
      </c>
      <c r="D343" t="s">
        <v>534</v>
      </c>
    </row>
    <row r="344" spans="1:4" x14ac:dyDescent="0.2">
      <c r="A344" t="s">
        <v>1395</v>
      </c>
      <c r="B344">
        <v>5</v>
      </c>
      <c r="C344" t="s">
        <v>20</v>
      </c>
      <c r="D344" t="s">
        <v>543</v>
      </c>
    </row>
    <row r="345" spans="1:4" x14ac:dyDescent="0.2">
      <c r="A345" t="s">
        <v>1395</v>
      </c>
      <c r="B345">
        <v>25</v>
      </c>
      <c r="C345" t="s">
        <v>20</v>
      </c>
      <c r="D345" t="s">
        <v>555</v>
      </c>
    </row>
    <row r="346" spans="1:4" x14ac:dyDescent="0.2">
      <c r="A346" t="s">
        <v>1395</v>
      </c>
      <c r="B346">
        <v>50</v>
      </c>
      <c r="C346" t="s">
        <v>20</v>
      </c>
      <c r="D346" t="s">
        <v>579</v>
      </c>
    </row>
    <row r="347" spans="1:4" x14ac:dyDescent="0.2">
      <c r="A347" t="s">
        <v>1395</v>
      </c>
      <c r="B347">
        <v>40</v>
      </c>
      <c r="C347" t="s">
        <v>20</v>
      </c>
      <c r="D347" t="s">
        <v>581</v>
      </c>
    </row>
    <row r="348" spans="1:4" x14ac:dyDescent="0.2">
      <c r="A348" t="s">
        <v>1395</v>
      </c>
      <c r="B348">
        <v>1</v>
      </c>
      <c r="C348" t="s">
        <v>20</v>
      </c>
      <c r="D348" t="s">
        <v>612</v>
      </c>
    </row>
    <row r="349" spans="1:4" x14ac:dyDescent="0.2">
      <c r="A349" t="s">
        <v>1395</v>
      </c>
      <c r="B349">
        <v>2</v>
      </c>
      <c r="C349" t="s">
        <v>20</v>
      </c>
      <c r="D349" t="s">
        <v>618</v>
      </c>
    </row>
    <row r="350" spans="1:4" x14ac:dyDescent="0.2">
      <c r="A350" t="s">
        <v>1395</v>
      </c>
      <c r="B350">
        <v>10</v>
      </c>
      <c r="C350" t="s">
        <v>20</v>
      </c>
      <c r="D350" t="s">
        <v>642</v>
      </c>
    </row>
    <row r="351" spans="1:4" x14ac:dyDescent="0.2">
      <c r="A351" t="s">
        <v>1395</v>
      </c>
      <c r="B351">
        <v>1</v>
      </c>
      <c r="C351" t="s">
        <v>20</v>
      </c>
      <c r="D351" t="s">
        <v>647</v>
      </c>
    </row>
    <row r="352" spans="1:4" x14ac:dyDescent="0.2">
      <c r="A352" t="s">
        <v>1395</v>
      </c>
      <c r="B352">
        <v>20</v>
      </c>
      <c r="C352" t="s">
        <v>20</v>
      </c>
      <c r="D352" t="s">
        <v>745</v>
      </c>
    </row>
    <row r="353" spans="1:4" x14ac:dyDescent="0.2">
      <c r="A353" t="s">
        <v>1395</v>
      </c>
      <c r="B353">
        <v>25</v>
      </c>
      <c r="C353" t="s">
        <v>20</v>
      </c>
      <c r="D353" t="s">
        <v>768</v>
      </c>
    </row>
    <row r="354" spans="1:4" x14ac:dyDescent="0.2">
      <c r="A354" t="s">
        <v>1395</v>
      </c>
      <c r="B354">
        <v>10</v>
      </c>
      <c r="C354" t="s">
        <v>20</v>
      </c>
      <c r="D354" t="s">
        <v>809</v>
      </c>
    </row>
    <row r="355" spans="1:4" x14ac:dyDescent="0.2">
      <c r="A355" t="s">
        <v>1395</v>
      </c>
      <c r="B355">
        <v>2</v>
      </c>
      <c r="C355" t="s">
        <v>20</v>
      </c>
      <c r="D355" t="s">
        <v>834</v>
      </c>
    </row>
    <row r="356" spans="1:4" x14ac:dyDescent="0.2">
      <c r="A356" t="s">
        <v>1395</v>
      </c>
      <c r="B356">
        <v>10</v>
      </c>
      <c r="C356" t="s">
        <v>20</v>
      </c>
      <c r="D356" t="s">
        <v>856</v>
      </c>
    </row>
    <row r="357" spans="1:4" x14ac:dyDescent="0.2">
      <c r="A357" t="s">
        <v>1395</v>
      </c>
      <c r="B357">
        <v>2</v>
      </c>
      <c r="C357" t="s">
        <v>20</v>
      </c>
      <c r="D357" t="s">
        <v>860</v>
      </c>
    </row>
    <row r="358" spans="1:4" x14ac:dyDescent="0.2">
      <c r="A358" t="s">
        <v>1395</v>
      </c>
      <c r="B358">
        <v>2</v>
      </c>
      <c r="C358" t="s">
        <v>20</v>
      </c>
      <c r="D358" t="s">
        <v>922</v>
      </c>
    </row>
    <row r="359" spans="1:4" x14ac:dyDescent="0.2">
      <c r="A359" t="s">
        <v>1395</v>
      </c>
      <c r="B359">
        <v>30</v>
      </c>
      <c r="C359" t="s">
        <v>20</v>
      </c>
      <c r="D359" t="s">
        <v>933</v>
      </c>
    </row>
    <row r="360" spans="1:4" x14ac:dyDescent="0.2">
      <c r="A360" t="s">
        <v>1395</v>
      </c>
      <c r="B360">
        <v>35</v>
      </c>
      <c r="C360" t="s">
        <v>20</v>
      </c>
      <c r="D360" t="s">
        <v>945</v>
      </c>
    </row>
    <row r="361" spans="1:4" x14ac:dyDescent="0.2">
      <c r="A361" t="s">
        <v>1395</v>
      </c>
      <c r="B361">
        <v>66</v>
      </c>
      <c r="C361" t="s">
        <v>20</v>
      </c>
      <c r="D361" t="s">
        <v>988</v>
      </c>
    </row>
    <row r="362" spans="1:4" x14ac:dyDescent="0.2">
      <c r="A362" t="s">
        <v>1396</v>
      </c>
      <c r="B362">
        <v>40</v>
      </c>
      <c r="C362" t="s">
        <v>20</v>
      </c>
      <c r="D362" t="s">
        <v>45</v>
      </c>
    </row>
    <row r="363" spans="1:4" x14ac:dyDescent="0.2">
      <c r="A363" t="s">
        <v>1396</v>
      </c>
      <c r="B363">
        <v>60</v>
      </c>
      <c r="C363" t="s">
        <v>20</v>
      </c>
      <c r="D363" t="s">
        <v>146</v>
      </c>
    </row>
    <row r="364" spans="1:4" x14ac:dyDescent="0.2">
      <c r="A364" t="s">
        <v>1396</v>
      </c>
      <c r="B364">
        <v>7</v>
      </c>
      <c r="C364" t="s">
        <v>20</v>
      </c>
      <c r="D364" t="s">
        <v>178</v>
      </c>
    </row>
    <row r="365" spans="1:4" x14ac:dyDescent="0.2">
      <c r="A365" t="s">
        <v>1396</v>
      </c>
      <c r="B365">
        <v>7</v>
      </c>
      <c r="C365" t="s">
        <v>20</v>
      </c>
      <c r="D365" t="s">
        <v>204</v>
      </c>
    </row>
    <row r="366" spans="1:4" x14ac:dyDescent="0.2">
      <c r="A366" t="s">
        <v>1396</v>
      </c>
      <c r="B366">
        <v>25</v>
      </c>
      <c r="C366" t="s">
        <v>20</v>
      </c>
      <c r="D366" t="s">
        <v>223</v>
      </c>
    </row>
    <row r="367" spans="1:4" x14ac:dyDescent="0.2">
      <c r="A367" t="s">
        <v>1396</v>
      </c>
      <c r="B367">
        <v>35</v>
      </c>
      <c r="C367" t="s">
        <v>20</v>
      </c>
      <c r="D367" t="s">
        <v>248</v>
      </c>
    </row>
    <row r="368" spans="1:4" x14ac:dyDescent="0.2">
      <c r="A368" t="s">
        <v>1396</v>
      </c>
      <c r="B368">
        <v>10</v>
      </c>
      <c r="C368" t="s">
        <v>20</v>
      </c>
      <c r="D368" t="s">
        <v>276</v>
      </c>
    </row>
    <row r="369" spans="1:4" x14ac:dyDescent="0.2">
      <c r="A369" t="s">
        <v>1396</v>
      </c>
      <c r="B369">
        <v>25</v>
      </c>
      <c r="C369" t="s">
        <v>20</v>
      </c>
      <c r="D369" t="s">
        <v>311</v>
      </c>
    </row>
    <row r="370" spans="1:4" x14ac:dyDescent="0.2">
      <c r="A370" t="s">
        <v>1396</v>
      </c>
      <c r="B370">
        <v>25</v>
      </c>
      <c r="C370" t="s">
        <v>20</v>
      </c>
      <c r="D370" t="s">
        <v>339</v>
      </c>
    </row>
    <row r="371" spans="1:4" x14ac:dyDescent="0.2">
      <c r="A371" t="s">
        <v>1396</v>
      </c>
      <c r="B371">
        <v>2</v>
      </c>
      <c r="C371" t="s">
        <v>20</v>
      </c>
      <c r="D371" t="s">
        <v>371</v>
      </c>
    </row>
    <row r="372" spans="1:4" x14ac:dyDescent="0.2">
      <c r="A372" t="s">
        <v>1396</v>
      </c>
      <c r="B372">
        <v>60</v>
      </c>
      <c r="C372" t="s">
        <v>20</v>
      </c>
      <c r="D372" t="s">
        <v>414</v>
      </c>
    </row>
    <row r="373" spans="1:4" x14ac:dyDescent="0.2">
      <c r="A373" t="s">
        <v>1396</v>
      </c>
      <c r="B373">
        <v>20</v>
      </c>
      <c r="C373" t="s">
        <v>20</v>
      </c>
      <c r="D373" t="s">
        <v>468</v>
      </c>
    </row>
    <row r="374" spans="1:4" x14ac:dyDescent="0.2">
      <c r="A374" t="s">
        <v>1396</v>
      </c>
      <c r="B374">
        <v>40</v>
      </c>
      <c r="C374" t="s">
        <v>20</v>
      </c>
      <c r="D374" t="s">
        <v>581</v>
      </c>
    </row>
    <row r="375" spans="1:4" x14ac:dyDescent="0.2">
      <c r="A375" t="s">
        <v>1396</v>
      </c>
      <c r="B375">
        <v>40</v>
      </c>
      <c r="C375" t="s">
        <v>20</v>
      </c>
      <c r="D375" t="s">
        <v>631</v>
      </c>
    </row>
    <row r="376" spans="1:4" x14ac:dyDescent="0.2">
      <c r="A376" t="s">
        <v>1396</v>
      </c>
      <c r="B376">
        <v>7</v>
      </c>
      <c r="C376" t="s">
        <v>20</v>
      </c>
      <c r="D376" t="s">
        <v>676</v>
      </c>
    </row>
    <row r="377" spans="1:4" x14ac:dyDescent="0.2">
      <c r="A377" t="s">
        <v>1396</v>
      </c>
      <c r="B377">
        <v>50</v>
      </c>
      <c r="C377" t="s">
        <v>20</v>
      </c>
      <c r="D377" t="s">
        <v>779</v>
      </c>
    </row>
    <row r="378" spans="1:4" x14ac:dyDescent="0.2">
      <c r="A378" t="s">
        <v>1396</v>
      </c>
      <c r="B378">
        <v>30</v>
      </c>
      <c r="C378" t="s">
        <v>20</v>
      </c>
      <c r="D378" t="s">
        <v>930</v>
      </c>
    </row>
    <row r="379" spans="1:4" x14ac:dyDescent="0.2">
      <c r="A379" t="s">
        <v>1396</v>
      </c>
      <c r="B379">
        <v>50</v>
      </c>
      <c r="C379" t="s">
        <v>20</v>
      </c>
      <c r="D379" t="s">
        <v>945</v>
      </c>
    </row>
    <row r="380" spans="1:4" x14ac:dyDescent="0.2">
      <c r="A380" t="s">
        <v>1396</v>
      </c>
      <c r="B380">
        <v>55</v>
      </c>
      <c r="C380" t="s">
        <v>20</v>
      </c>
      <c r="D380" t="s">
        <v>988</v>
      </c>
    </row>
    <row r="381" spans="1:4" x14ac:dyDescent="0.2">
      <c r="A381" t="s">
        <v>1396</v>
      </c>
      <c r="B381">
        <v>5</v>
      </c>
      <c r="C381" t="s">
        <v>20</v>
      </c>
      <c r="D381" t="s">
        <v>1003</v>
      </c>
    </row>
    <row r="382" spans="1:4" x14ac:dyDescent="0.2">
      <c r="A382" t="s">
        <v>1397</v>
      </c>
      <c r="B382">
        <v>65</v>
      </c>
      <c r="C382" t="s">
        <v>20</v>
      </c>
      <c r="D382" t="s">
        <v>45</v>
      </c>
    </row>
    <row r="383" spans="1:4" x14ac:dyDescent="0.2">
      <c r="A383" t="s">
        <v>1397</v>
      </c>
      <c r="B383">
        <v>45</v>
      </c>
      <c r="C383" t="s">
        <v>20</v>
      </c>
      <c r="D383" t="s">
        <v>146</v>
      </c>
    </row>
    <row r="384" spans="1:4" x14ac:dyDescent="0.2">
      <c r="A384" t="s">
        <v>1397</v>
      </c>
      <c r="B384">
        <v>1</v>
      </c>
      <c r="C384" t="s">
        <v>20</v>
      </c>
      <c r="D384" t="s">
        <v>164</v>
      </c>
    </row>
    <row r="385" spans="1:4" x14ac:dyDescent="0.2">
      <c r="A385" t="s">
        <v>1397</v>
      </c>
      <c r="B385">
        <v>25</v>
      </c>
      <c r="C385" t="s">
        <v>20</v>
      </c>
      <c r="D385" t="s">
        <v>223</v>
      </c>
    </row>
    <row r="386" spans="1:4" x14ac:dyDescent="0.2">
      <c r="A386" t="s">
        <v>1397</v>
      </c>
      <c r="B386">
        <v>65</v>
      </c>
      <c r="C386" t="s">
        <v>20</v>
      </c>
      <c r="D386" t="s">
        <v>243</v>
      </c>
    </row>
    <row r="387" spans="1:4" x14ac:dyDescent="0.2">
      <c r="A387" t="s">
        <v>1397</v>
      </c>
      <c r="B387">
        <v>25</v>
      </c>
      <c r="C387" t="s">
        <v>20</v>
      </c>
      <c r="D387" t="s">
        <v>248</v>
      </c>
    </row>
    <row r="388" spans="1:4" x14ac:dyDescent="0.2">
      <c r="A388" t="s">
        <v>1397</v>
      </c>
      <c r="B388">
        <v>10</v>
      </c>
      <c r="C388" t="s">
        <v>20</v>
      </c>
      <c r="D388" t="s">
        <v>271</v>
      </c>
    </row>
    <row r="389" spans="1:4" x14ac:dyDescent="0.2">
      <c r="A389" t="s">
        <v>1397</v>
      </c>
      <c r="B389">
        <v>15</v>
      </c>
      <c r="C389" t="s">
        <v>20</v>
      </c>
      <c r="D389" t="s">
        <v>311</v>
      </c>
    </row>
    <row r="390" spans="1:4" x14ac:dyDescent="0.2">
      <c r="A390" t="s">
        <v>1397</v>
      </c>
      <c r="B390">
        <v>15</v>
      </c>
      <c r="C390" t="s">
        <v>20</v>
      </c>
      <c r="D390" t="s">
        <v>339</v>
      </c>
    </row>
    <row r="391" spans="1:4" x14ac:dyDescent="0.2">
      <c r="A391" t="s">
        <v>1397</v>
      </c>
      <c r="B391">
        <v>10</v>
      </c>
      <c r="C391" t="s">
        <v>20</v>
      </c>
      <c r="D391" t="s">
        <v>448</v>
      </c>
    </row>
    <row r="392" spans="1:4" x14ac:dyDescent="0.2">
      <c r="A392" t="s">
        <v>1397</v>
      </c>
      <c r="B392">
        <v>10</v>
      </c>
      <c r="C392" t="s">
        <v>20</v>
      </c>
      <c r="D392" t="s">
        <v>468</v>
      </c>
    </row>
    <row r="393" spans="1:4" x14ac:dyDescent="0.2">
      <c r="A393" t="s">
        <v>1397</v>
      </c>
      <c r="B393">
        <v>45</v>
      </c>
      <c r="C393" t="s">
        <v>20</v>
      </c>
      <c r="D393" t="s">
        <v>581</v>
      </c>
    </row>
    <row r="394" spans="1:4" x14ac:dyDescent="0.2">
      <c r="A394" t="s">
        <v>1397</v>
      </c>
      <c r="B394">
        <v>35</v>
      </c>
      <c r="C394" t="s">
        <v>20</v>
      </c>
      <c r="D394" t="s">
        <v>631</v>
      </c>
    </row>
    <row r="395" spans="1:4" x14ac:dyDescent="0.2">
      <c r="A395" t="s">
        <v>1397</v>
      </c>
      <c r="B395">
        <v>10</v>
      </c>
      <c r="C395" t="s">
        <v>20</v>
      </c>
      <c r="D395" t="s">
        <v>676</v>
      </c>
    </row>
    <row r="396" spans="1:4" x14ac:dyDescent="0.2">
      <c r="A396" t="s">
        <v>1397</v>
      </c>
      <c r="B396">
        <v>25</v>
      </c>
      <c r="C396" t="s">
        <v>20</v>
      </c>
      <c r="D396" t="s">
        <v>745</v>
      </c>
    </row>
    <row r="397" spans="1:4" x14ac:dyDescent="0.2">
      <c r="A397" t="s">
        <v>1397</v>
      </c>
      <c r="B397">
        <v>55</v>
      </c>
      <c r="C397" t="s">
        <v>20</v>
      </c>
      <c r="D397" t="s">
        <v>779</v>
      </c>
    </row>
    <row r="398" spans="1:4" x14ac:dyDescent="0.2">
      <c r="A398" t="s">
        <v>1397</v>
      </c>
      <c r="B398">
        <v>10</v>
      </c>
      <c r="C398" t="s">
        <v>20</v>
      </c>
      <c r="D398" t="s">
        <v>809</v>
      </c>
    </row>
    <row r="399" spans="1:4" x14ac:dyDescent="0.2">
      <c r="A399" t="s">
        <v>1397</v>
      </c>
      <c r="B399">
        <v>22</v>
      </c>
      <c r="C399" t="s">
        <v>20</v>
      </c>
      <c r="D399" t="s">
        <v>945</v>
      </c>
    </row>
    <row r="400" spans="1:4" x14ac:dyDescent="0.2">
      <c r="A400" t="s">
        <v>1400</v>
      </c>
      <c r="B400">
        <v>1</v>
      </c>
      <c r="C400" t="s">
        <v>13</v>
      </c>
      <c r="D400" t="s">
        <v>146</v>
      </c>
    </row>
    <row r="401" spans="1:4" x14ac:dyDescent="0.2">
      <c r="A401" t="s">
        <v>1400</v>
      </c>
      <c r="B401">
        <v>5.5</v>
      </c>
      <c r="C401" t="s">
        <v>13</v>
      </c>
      <c r="D401" t="s">
        <v>190</v>
      </c>
    </row>
    <row r="402" spans="1:4" x14ac:dyDescent="0.2">
      <c r="A402" t="s">
        <v>1400</v>
      </c>
      <c r="B402">
        <v>0.5</v>
      </c>
      <c r="C402" t="s">
        <v>13</v>
      </c>
      <c r="D402" t="s">
        <v>223</v>
      </c>
    </row>
    <row r="403" spans="1:4" x14ac:dyDescent="0.2">
      <c r="A403" t="s">
        <v>1400</v>
      </c>
      <c r="B403">
        <v>1.5</v>
      </c>
      <c r="C403" t="s">
        <v>13</v>
      </c>
      <c r="D403" t="s">
        <v>243</v>
      </c>
    </row>
    <row r="404" spans="1:4" x14ac:dyDescent="0.2">
      <c r="A404" t="s">
        <v>1400</v>
      </c>
      <c r="B404">
        <v>0.5</v>
      </c>
      <c r="C404" t="s">
        <v>13</v>
      </c>
      <c r="D404" t="s">
        <v>271</v>
      </c>
    </row>
    <row r="405" spans="1:4" x14ac:dyDescent="0.2">
      <c r="A405" t="s">
        <v>1400</v>
      </c>
      <c r="B405">
        <v>5</v>
      </c>
      <c r="C405" t="s">
        <v>20</v>
      </c>
      <c r="D405" t="s">
        <v>1102</v>
      </c>
    </row>
    <row r="406" spans="1:4" x14ac:dyDescent="0.2">
      <c r="A406" t="s">
        <v>1400</v>
      </c>
      <c r="B406">
        <v>65</v>
      </c>
      <c r="C406" t="s">
        <v>20</v>
      </c>
      <c r="D406" t="s">
        <v>468</v>
      </c>
    </row>
    <row r="407" spans="1:4" x14ac:dyDescent="0.2">
      <c r="A407" t="s">
        <v>1400</v>
      </c>
      <c r="B407">
        <v>1</v>
      </c>
      <c r="C407" t="s">
        <v>13</v>
      </c>
      <c r="D407" t="s">
        <v>581</v>
      </c>
    </row>
    <row r="408" spans="1:4" x14ac:dyDescent="0.2">
      <c r="A408" t="s">
        <v>1400</v>
      </c>
      <c r="B408">
        <v>0.5</v>
      </c>
      <c r="C408" t="s">
        <v>13</v>
      </c>
      <c r="D408" t="s">
        <v>631</v>
      </c>
    </row>
    <row r="409" spans="1:4" x14ac:dyDescent="0.2">
      <c r="A409" t="s">
        <v>1400</v>
      </c>
      <c r="B409">
        <v>1</v>
      </c>
      <c r="C409" t="s">
        <v>26</v>
      </c>
      <c r="D409" t="s">
        <v>779</v>
      </c>
    </row>
    <row r="410" spans="1:4" x14ac:dyDescent="0.2">
      <c r="A410" t="s">
        <v>1400</v>
      </c>
      <c r="B410">
        <v>15</v>
      </c>
      <c r="C410" t="s">
        <v>41</v>
      </c>
      <c r="D410" t="s">
        <v>834</v>
      </c>
    </row>
    <row r="411" spans="1:4" x14ac:dyDescent="0.2">
      <c r="A411" t="s">
        <v>1400</v>
      </c>
      <c r="B411">
        <v>2</v>
      </c>
      <c r="C411" t="s">
        <v>13</v>
      </c>
      <c r="D411" t="s">
        <v>945</v>
      </c>
    </row>
    <row r="412" spans="1:4" x14ac:dyDescent="0.2">
      <c r="A412" t="s">
        <v>1400</v>
      </c>
      <c r="B412">
        <v>300</v>
      </c>
      <c r="C412" t="s">
        <v>20</v>
      </c>
      <c r="D412" t="s">
        <v>988</v>
      </c>
    </row>
    <row r="413" spans="1:4" x14ac:dyDescent="0.2">
      <c r="A413" t="s">
        <v>1400</v>
      </c>
      <c r="B413">
        <v>1</v>
      </c>
      <c r="C413" t="s">
        <v>13</v>
      </c>
      <c r="D413" t="s">
        <v>1003</v>
      </c>
    </row>
  </sheetData>
  <autoFilter ref="A1:D1" xr:uid="{A8C5F7F1-382D-4487-B6F7-0B0E1BCB7929}"/>
  <sortState xmlns:xlrd2="http://schemas.microsoft.com/office/spreadsheetml/2017/richdata2" ref="F2:F14">
    <sortCondition ref="F1"/>
  </sortState>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92"/>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A3" s="24" t="s">
        <v>1210</v>
      </c>
      <c r="B3" s="24" t="s">
        <v>1209</v>
      </c>
    </row>
    <row r="4" spans="1:2" x14ac:dyDescent="0.2">
      <c r="A4" s="24" t="s">
        <v>1198</v>
      </c>
      <c r="B4" t="s">
        <v>20</v>
      </c>
    </row>
    <row r="5" spans="1:2" x14ac:dyDescent="0.2">
      <c r="A5" t="s">
        <v>60</v>
      </c>
      <c r="B5">
        <v>40</v>
      </c>
    </row>
    <row r="6" spans="1:2" x14ac:dyDescent="0.2">
      <c r="A6" t="s">
        <v>34</v>
      </c>
      <c r="B6">
        <v>100</v>
      </c>
    </row>
    <row r="7" spans="1:2" x14ac:dyDescent="0.2">
      <c r="A7" t="s">
        <v>45</v>
      </c>
      <c r="B7">
        <v>425</v>
      </c>
    </row>
    <row r="8" spans="1:2" x14ac:dyDescent="0.2">
      <c r="A8" t="s">
        <v>100</v>
      </c>
      <c r="B8">
        <v>220</v>
      </c>
    </row>
    <row r="9" spans="1:2" x14ac:dyDescent="0.2">
      <c r="A9" t="s">
        <v>124</v>
      </c>
      <c r="B9">
        <v>22</v>
      </c>
    </row>
    <row r="10" spans="1:2" x14ac:dyDescent="0.2">
      <c r="A10" t="s">
        <v>128</v>
      </c>
      <c r="B10">
        <v>160</v>
      </c>
    </row>
    <row r="11" spans="1:2" x14ac:dyDescent="0.2">
      <c r="A11" t="s">
        <v>146</v>
      </c>
      <c r="B11">
        <v>645</v>
      </c>
    </row>
    <row r="12" spans="1:2" x14ac:dyDescent="0.2">
      <c r="A12" t="s">
        <v>151</v>
      </c>
      <c r="B12">
        <v>40</v>
      </c>
    </row>
    <row r="13" spans="1:2" x14ac:dyDescent="0.2">
      <c r="A13" t="s">
        <v>153</v>
      </c>
      <c r="B13">
        <v>60</v>
      </c>
    </row>
    <row r="14" spans="1:2" x14ac:dyDescent="0.2">
      <c r="A14" t="s">
        <v>164</v>
      </c>
      <c r="B14">
        <v>1</v>
      </c>
    </row>
    <row r="15" spans="1:2" x14ac:dyDescent="0.2">
      <c r="A15" t="s">
        <v>172</v>
      </c>
      <c r="B15">
        <v>20</v>
      </c>
    </row>
    <row r="16" spans="1:2" x14ac:dyDescent="0.2">
      <c r="A16" t="s">
        <v>178</v>
      </c>
      <c r="B16">
        <v>49</v>
      </c>
    </row>
    <row r="17" spans="1:2" x14ac:dyDescent="0.2">
      <c r="A17" t="s">
        <v>183</v>
      </c>
      <c r="B17">
        <v>30</v>
      </c>
    </row>
    <row r="18" spans="1:2" x14ac:dyDescent="0.2">
      <c r="A18" t="s">
        <v>190</v>
      </c>
      <c r="B18">
        <v>130</v>
      </c>
    </row>
    <row r="19" spans="1:2" x14ac:dyDescent="0.2">
      <c r="A19" t="s">
        <v>204</v>
      </c>
      <c r="B19">
        <v>205</v>
      </c>
    </row>
    <row r="20" spans="1:2" x14ac:dyDescent="0.2">
      <c r="A20" t="s">
        <v>228</v>
      </c>
      <c r="B20">
        <v>235</v>
      </c>
    </row>
    <row r="21" spans="1:2" x14ac:dyDescent="0.2">
      <c r="A21" t="s">
        <v>230</v>
      </c>
      <c r="B21">
        <v>150</v>
      </c>
    </row>
    <row r="22" spans="1:2" x14ac:dyDescent="0.2">
      <c r="A22" t="s">
        <v>221</v>
      </c>
      <c r="B22">
        <v>40</v>
      </c>
    </row>
    <row r="23" spans="1:2" x14ac:dyDescent="0.2">
      <c r="A23" t="s">
        <v>223</v>
      </c>
      <c r="B23">
        <v>295</v>
      </c>
    </row>
    <row r="24" spans="1:2" x14ac:dyDescent="0.2">
      <c r="A24" t="s">
        <v>243</v>
      </c>
      <c r="B24">
        <v>558</v>
      </c>
    </row>
    <row r="25" spans="1:2" x14ac:dyDescent="0.2">
      <c r="A25" t="s">
        <v>248</v>
      </c>
      <c r="B25">
        <v>660</v>
      </c>
    </row>
    <row r="26" spans="1:2" x14ac:dyDescent="0.2">
      <c r="A26" t="s">
        <v>260</v>
      </c>
      <c r="B26">
        <v>10</v>
      </c>
    </row>
    <row r="27" spans="1:2" x14ac:dyDescent="0.2">
      <c r="A27" t="s">
        <v>263</v>
      </c>
      <c r="B27">
        <v>145</v>
      </c>
    </row>
    <row r="28" spans="1:2" x14ac:dyDescent="0.2">
      <c r="A28" t="s">
        <v>271</v>
      </c>
      <c r="B28">
        <v>67</v>
      </c>
    </row>
    <row r="29" spans="1:2" x14ac:dyDescent="0.2">
      <c r="A29" t="s">
        <v>274</v>
      </c>
      <c r="B29">
        <v>20</v>
      </c>
    </row>
    <row r="30" spans="1:2" x14ac:dyDescent="0.2">
      <c r="A30" t="s">
        <v>276</v>
      </c>
      <c r="B30">
        <v>110</v>
      </c>
    </row>
    <row r="31" spans="1:2" x14ac:dyDescent="0.2">
      <c r="A31" t="s">
        <v>283</v>
      </c>
      <c r="B31">
        <v>48</v>
      </c>
    </row>
    <row r="32" spans="1:2" x14ac:dyDescent="0.2">
      <c r="A32" t="s">
        <v>299</v>
      </c>
      <c r="B32">
        <v>28</v>
      </c>
    </row>
    <row r="33" spans="1:2" x14ac:dyDescent="0.2">
      <c r="A33" t="s">
        <v>311</v>
      </c>
      <c r="B33">
        <v>310</v>
      </c>
    </row>
    <row r="34" spans="1:2" x14ac:dyDescent="0.2">
      <c r="A34" t="s">
        <v>327</v>
      </c>
      <c r="B34">
        <v>87</v>
      </c>
    </row>
    <row r="35" spans="1:2" x14ac:dyDescent="0.2">
      <c r="A35" t="s">
        <v>329</v>
      </c>
      <c r="B35">
        <v>7</v>
      </c>
    </row>
    <row r="36" spans="1:2" x14ac:dyDescent="0.2">
      <c r="A36" t="s">
        <v>339</v>
      </c>
      <c r="B36">
        <v>285</v>
      </c>
    </row>
    <row r="37" spans="1:2" x14ac:dyDescent="0.2">
      <c r="A37" t="s">
        <v>357</v>
      </c>
      <c r="B37">
        <v>5</v>
      </c>
    </row>
    <row r="38" spans="1:2" x14ac:dyDescent="0.2">
      <c r="A38" t="s">
        <v>365</v>
      </c>
      <c r="B38">
        <v>10</v>
      </c>
    </row>
    <row r="39" spans="1:2" x14ac:dyDescent="0.2">
      <c r="A39" t="s">
        <v>1102</v>
      </c>
      <c r="B39">
        <v>5</v>
      </c>
    </row>
    <row r="40" spans="1:2" x14ac:dyDescent="0.2">
      <c r="A40" t="s">
        <v>371</v>
      </c>
      <c r="B40">
        <v>88</v>
      </c>
    </row>
    <row r="41" spans="1:2" x14ac:dyDescent="0.2">
      <c r="A41" t="s">
        <v>374</v>
      </c>
      <c r="B41">
        <v>50</v>
      </c>
    </row>
    <row r="42" spans="1:2" x14ac:dyDescent="0.2">
      <c r="A42" t="s">
        <v>1058</v>
      </c>
      <c r="B42">
        <v>40</v>
      </c>
    </row>
    <row r="43" spans="1:2" x14ac:dyDescent="0.2">
      <c r="A43" t="s">
        <v>393</v>
      </c>
      <c r="B43">
        <v>136</v>
      </c>
    </row>
    <row r="44" spans="1:2" x14ac:dyDescent="0.2">
      <c r="A44" t="s">
        <v>1158</v>
      </c>
      <c r="B44">
        <v>46</v>
      </c>
    </row>
    <row r="45" spans="1:2" x14ac:dyDescent="0.2">
      <c r="A45" t="s">
        <v>414</v>
      </c>
      <c r="B45">
        <v>304</v>
      </c>
    </row>
    <row r="46" spans="1:2" x14ac:dyDescent="0.2">
      <c r="A46" t="s">
        <v>430</v>
      </c>
      <c r="B46">
        <v>50</v>
      </c>
    </row>
    <row r="47" spans="1:2" x14ac:dyDescent="0.2">
      <c r="A47" t="s">
        <v>439</v>
      </c>
      <c r="B47">
        <v>47</v>
      </c>
    </row>
    <row r="48" spans="1:2" x14ac:dyDescent="0.2">
      <c r="A48" t="s">
        <v>443</v>
      </c>
      <c r="B48">
        <v>15</v>
      </c>
    </row>
    <row r="49" spans="1:2" x14ac:dyDescent="0.2">
      <c r="A49" t="s">
        <v>448</v>
      </c>
      <c r="B49">
        <v>245</v>
      </c>
    </row>
    <row r="50" spans="1:2" x14ac:dyDescent="0.2">
      <c r="A50" t="s">
        <v>451</v>
      </c>
      <c r="B50">
        <v>20</v>
      </c>
    </row>
    <row r="51" spans="1:2" x14ac:dyDescent="0.2">
      <c r="A51" t="s">
        <v>468</v>
      </c>
      <c r="B51">
        <v>385</v>
      </c>
    </row>
    <row r="52" spans="1:2" x14ac:dyDescent="0.2">
      <c r="A52" t="s">
        <v>495</v>
      </c>
      <c r="B52">
        <v>85</v>
      </c>
    </row>
    <row r="53" spans="1:2" x14ac:dyDescent="0.2">
      <c r="A53" t="s">
        <v>508</v>
      </c>
      <c r="B53">
        <v>60</v>
      </c>
    </row>
    <row r="54" spans="1:2" x14ac:dyDescent="0.2">
      <c r="A54" t="s">
        <v>1129</v>
      </c>
      <c r="B54">
        <v>56</v>
      </c>
    </row>
    <row r="55" spans="1:2" x14ac:dyDescent="0.2">
      <c r="A55" t="s">
        <v>534</v>
      </c>
      <c r="B55">
        <v>45</v>
      </c>
    </row>
    <row r="56" spans="1:2" x14ac:dyDescent="0.2">
      <c r="A56" t="s">
        <v>543</v>
      </c>
      <c r="B56">
        <v>30</v>
      </c>
    </row>
    <row r="57" spans="1:2" x14ac:dyDescent="0.2">
      <c r="A57" t="s">
        <v>555</v>
      </c>
      <c r="B57">
        <v>571</v>
      </c>
    </row>
    <row r="58" spans="1:2" x14ac:dyDescent="0.2">
      <c r="A58" t="s">
        <v>579</v>
      </c>
      <c r="B58">
        <v>515</v>
      </c>
    </row>
    <row r="59" spans="1:2" x14ac:dyDescent="0.2">
      <c r="A59" t="s">
        <v>581</v>
      </c>
      <c r="B59">
        <v>568</v>
      </c>
    </row>
    <row r="60" spans="1:2" x14ac:dyDescent="0.2">
      <c r="A60" t="s">
        <v>586</v>
      </c>
      <c r="B60">
        <v>35</v>
      </c>
    </row>
    <row r="61" spans="1:2" x14ac:dyDescent="0.2">
      <c r="A61" t="s">
        <v>601</v>
      </c>
      <c r="B61">
        <v>24</v>
      </c>
    </row>
    <row r="62" spans="1:2" x14ac:dyDescent="0.2">
      <c r="A62" t="s">
        <v>612</v>
      </c>
      <c r="B62">
        <v>30</v>
      </c>
    </row>
    <row r="63" spans="1:2" x14ac:dyDescent="0.2">
      <c r="A63" t="s">
        <v>618</v>
      </c>
      <c r="B63">
        <v>2</v>
      </c>
    </row>
    <row r="64" spans="1:2" x14ac:dyDescent="0.2">
      <c r="A64" t="s">
        <v>631</v>
      </c>
      <c r="B64">
        <v>245</v>
      </c>
    </row>
    <row r="65" spans="1:2" x14ac:dyDescent="0.2">
      <c r="A65" t="s">
        <v>642</v>
      </c>
      <c r="B65">
        <v>54</v>
      </c>
    </row>
    <row r="66" spans="1:2" x14ac:dyDescent="0.2">
      <c r="A66" t="s">
        <v>647</v>
      </c>
      <c r="B66">
        <v>15</v>
      </c>
    </row>
    <row r="67" spans="1:2" x14ac:dyDescent="0.2">
      <c r="A67" t="s">
        <v>654</v>
      </c>
      <c r="B67">
        <v>68</v>
      </c>
    </row>
    <row r="68" spans="1:2" x14ac:dyDescent="0.2">
      <c r="A68" t="s">
        <v>656</v>
      </c>
      <c r="B68">
        <v>30</v>
      </c>
    </row>
    <row r="69" spans="1:2" x14ac:dyDescent="0.2">
      <c r="A69" t="s">
        <v>1237</v>
      </c>
      <c r="B69">
        <v>20</v>
      </c>
    </row>
    <row r="70" spans="1:2" x14ac:dyDescent="0.2">
      <c r="A70" t="s">
        <v>676</v>
      </c>
      <c r="B70">
        <v>209</v>
      </c>
    </row>
    <row r="71" spans="1:2" x14ac:dyDescent="0.2">
      <c r="A71" t="s">
        <v>684</v>
      </c>
      <c r="B71">
        <v>20</v>
      </c>
    </row>
    <row r="72" spans="1:2" x14ac:dyDescent="0.2">
      <c r="A72" t="s">
        <v>732</v>
      </c>
      <c r="B72">
        <v>7</v>
      </c>
    </row>
    <row r="73" spans="1:2" x14ac:dyDescent="0.2">
      <c r="A73" t="s">
        <v>745</v>
      </c>
      <c r="B73">
        <v>310</v>
      </c>
    </row>
    <row r="74" spans="1:2" x14ac:dyDescent="0.2">
      <c r="A74" t="s">
        <v>768</v>
      </c>
      <c r="B74">
        <v>245</v>
      </c>
    </row>
    <row r="75" spans="1:2" x14ac:dyDescent="0.2">
      <c r="A75" t="s">
        <v>770</v>
      </c>
      <c r="B75">
        <v>25</v>
      </c>
    </row>
    <row r="76" spans="1:2" x14ac:dyDescent="0.2">
      <c r="A76" t="s">
        <v>777</v>
      </c>
      <c r="B76">
        <v>75</v>
      </c>
    </row>
    <row r="77" spans="1:2" x14ac:dyDescent="0.2">
      <c r="A77" t="s">
        <v>779</v>
      </c>
      <c r="B77">
        <v>740</v>
      </c>
    </row>
    <row r="78" spans="1:2" x14ac:dyDescent="0.2">
      <c r="A78" t="s">
        <v>809</v>
      </c>
      <c r="B78">
        <v>40</v>
      </c>
    </row>
    <row r="79" spans="1:2" x14ac:dyDescent="0.2">
      <c r="A79" t="s">
        <v>834</v>
      </c>
      <c r="B79">
        <v>6</v>
      </c>
    </row>
    <row r="80" spans="1:2" x14ac:dyDescent="0.2">
      <c r="A80" t="s">
        <v>856</v>
      </c>
      <c r="B80">
        <v>10</v>
      </c>
    </row>
    <row r="81" spans="1:2" x14ac:dyDescent="0.2">
      <c r="A81" t="s">
        <v>860</v>
      </c>
      <c r="B81">
        <v>72</v>
      </c>
    </row>
    <row r="82" spans="1:2" x14ac:dyDescent="0.2">
      <c r="A82" t="s">
        <v>875</v>
      </c>
      <c r="B82">
        <v>3</v>
      </c>
    </row>
    <row r="83" spans="1:2" x14ac:dyDescent="0.2">
      <c r="A83" t="s">
        <v>889</v>
      </c>
      <c r="B83">
        <v>120</v>
      </c>
    </row>
    <row r="84" spans="1:2" x14ac:dyDescent="0.2">
      <c r="A84" t="s">
        <v>905</v>
      </c>
      <c r="B84">
        <v>10</v>
      </c>
    </row>
    <row r="85" spans="1:2" x14ac:dyDescent="0.2">
      <c r="A85" t="s">
        <v>911</v>
      </c>
      <c r="B85">
        <v>20</v>
      </c>
    </row>
    <row r="86" spans="1:2" x14ac:dyDescent="0.2">
      <c r="A86" t="s">
        <v>922</v>
      </c>
      <c r="B86">
        <v>93</v>
      </c>
    </row>
    <row r="87" spans="1:2" x14ac:dyDescent="0.2">
      <c r="A87" t="s">
        <v>930</v>
      </c>
      <c r="B87">
        <v>90</v>
      </c>
    </row>
    <row r="88" spans="1:2" x14ac:dyDescent="0.2">
      <c r="A88" t="s">
        <v>933</v>
      </c>
      <c r="B88">
        <v>135</v>
      </c>
    </row>
    <row r="89" spans="1:2" x14ac:dyDescent="0.2">
      <c r="A89" t="s">
        <v>945</v>
      </c>
      <c r="B89">
        <v>717</v>
      </c>
    </row>
    <row r="90" spans="1:2" x14ac:dyDescent="0.2">
      <c r="A90" t="s">
        <v>988</v>
      </c>
      <c r="B90">
        <v>786</v>
      </c>
    </row>
    <row r="91" spans="1:2" x14ac:dyDescent="0.2">
      <c r="A91" t="s">
        <v>1003</v>
      </c>
      <c r="B91">
        <v>146</v>
      </c>
    </row>
    <row r="92" spans="1:2" x14ac:dyDescent="0.2">
      <c r="A92" t="s">
        <v>1220</v>
      </c>
      <c r="B92">
        <v>12980</v>
      </c>
    </row>
  </sheetData>
  <pageMargins left="0.7" right="0.7" top="0.75" bottom="0.75" header="0.3" footer="0.3"/>
  <pageSetup scale="58" orientation="portrait" horizontalDpi="300" verticalDpi="30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204"/>
  <sheetViews>
    <sheetView topLeftCell="A64" zoomScaleNormal="100" workbookViewId="0">
      <selection activeCell="F1" sqref="F1"/>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1203</v>
      </c>
      <c r="B1" s="25" t="s">
        <v>1204</v>
      </c>
      <c r="C1" s="25" t="s">
        <v>1205</v>
      </c>
      <c r="D1" s="25" t="s">
        <v>1248</v>
      </c>
      <c r="F1" s="25" t="s">
        <v>1206</v>
      </c>
    </row>
    <row r="2" spans="1:6" x14ac:dyDescent="0.2">
      <c r="A2">
        <v>120</v>
      </c>
      <c r="B2" t="s">
        <v>20</v>
      </c>
      <c r="C2" t="s">
        <v>45</v>
      </c>
      <c r="D2" t="s">
        <v>1378</v>
      </c>
      <c r="F2" t="s">
        <v>1390</v>
      </c>
    </row>
    <row r="3" spans="1:6" x14ac:dyDescent="0.2">
      <c r="A3">
        <v>120</v>
      </c>
      <c r="B3" t="s">
        <v>20</v>
      </c>
      <c r="C3" t="s">
        <v>146</v>
      </c>
      <c r="D3" t="s">
        <v>1378</v>
      </c>
      <c r="F3" t="s">
        <v>1379</v>
      </c>
    </row>
    <row r="4" spans="1:6" x14ac:dyDescent="0.2">
      <c r="A4">
        <v>20</v>
      </c>
      <c r="B4" t="s">
        <v>20</v>
      </c>
      <c r="C4" t="s">
        <v>178</v>
      </c>
      <c r="D4" t="s">
        <v>1378</v>
      </c>
      <c r="F4" t="s">
        <v>1386</v>
      </c>
    </row>
    <row r="5" spans="1:6" x14ac:dyDescent="0.2">
      <c r="A5">
        <v>20</v>
      </c>
      <c r="B5" t="s">
        <v>20</v>
      </c>
      <c r="C5" t="s">
        <v>190</v>
      </c>
      <c r="D5" t="s">
        <v>1378</v>
      </c>
      <c r="F5" t="s">
        <v>1378</v>
      </c>
    </row>
    <row r="6" spans="1:6" x14ac:dyDescent="0.2">
      <c r="A6">
        <v>11</v>
      </c>
      <c r="B6" t="s">
        <v>20</v>
      </c>
      <c r="C6" t="s">
        <v>204</v>
      </c>
      <c r="D6" t="s">
        <v>1378</v>
      </c>
      <c r="F6" s="25" t="s">
        <v>1389</v>
      </c>
    </row>
    <row r="7" spans="1:6" x14ac:dyDescent="0.2">
      <c r="A7">
        <v>40</v>
      </c>
      <c r="B7" t="s">
        <v>20</v>
      </c>
      <c r="C7" t="s">
        <v>228</v>
      </c>
      <c r="D7" t="s">
        <v>1378</v>
      </c>
      <c r="F7" t="s">
        <v>1391</v>
      </c>
    </row>
    <row r="8" spans="1:6" x14ac:dyDescent="0.2">
      <c r="A8">
        <v>25</v>
      </c>
      <c r="B8" t="s">
        <v>20</v>
      </c>
      <c r="C8" t="s">
        <v>221</v>
      </c>
      <c r="D8" t="s">
        <v>1378</v>
      </c>
      <c r="F8" t="s">
        <v>1385</v>
      </c>
    </row>
    <row r="9" spans="1:6" x14ac:dyDescent="0.2">
      <c r="A9">
        <v>140</v>
      </c>
      <c r="B9" t="s">
        <v>20</v>
      </c>
      <c r="C9" t="s">
        <v>243</v>
      </c>
      <c r="D9" t="s">
        <v>1378</v>
      </c>
    </row>
    <row r="10" spans="1:6" x14ac:dyDescent="0.2">
      <c r="A10">
        <v>50</v>
      </c>
      <c r="B10" t="s">
        <v>20</v>
      </c>
      <c r="C10" t="s">
        <v>248</v>
      </c>
      <c r="D10" t="s">
        <v>1378</v>
      </c>
    </row>
    <row r="11" spans="1:6" x14ac:dyDescent="0.2">
      <c r="A11">
        <v>10</v>
      </c>
      <c r="B11" t="s">
        <v>20</v>
      </c>
      <c r="C11" t="s">
        <v>271</v>
      </c>
      <c r="D11" t="s">
        <v>1378</v>
      </c>
    </row>
    <row r="12" spans="1:6" x14ac:dyDescent="0.2">
      <c r="A12">
        <v>10</v>
      </c>
      <c r="B12" t="s">
        <v>20</v>
      </c>
      <c r="C12" t="s">
        <v>276</v>
      </c>
      <c r="D12" t="s">
        <v>1378</v>
      </c>
    </row>
    <row r="13" spans="1:6" x14ac:dyDescent="0.2">
      <c r="A13">
        <v>25</v>
      </c>
      <c r="B13" t="s">
        <v>20</v>
      </c>
      <c r="C13" t="s">
        <v>311</v>
      </c>
      <c r="D13" t="s">
        <v>1378</v>
      </c>
    </row>
    <row r="14" spans="1:6" x14ac:dyDescent="0.2">
      <c r="A14">
        <v>15</v>
      </c>
      <c r="B14" t="s">
        <v>20</v>
      </c>
      <c r="C14" t="s">
        <v>327</v>
      </c>
      <c r="D14" t="s">
        <v>1378</v>
      </c>
    </row>
    <row r="15" spans="1:6" x14ac:dyDescent="0.2">
      <c r="A15">
        <v>12</v>
      </c>
      <c r="B15" t="s">
        <v>20</v>
      </c>
      <c r="C15" t="s">
        <v>339</v>
      </c>
      <c r="D15" t="s">
        <v>1378</v>
      </c>
    </row>
    <row r="16" spans="1:6" x14ac:dyDescent="0.2">
      <c r="A16">
        <v>40</v>
      </c>
      <c r="B16" t="s">
        <v>20</v>
      </c>
      <c r="C16" t="s">
        <v>448</v>
      </c>
      <c r="D16" t="s">
        <v>1378</v>
      </c>
    </row>
    <row r="17" spans="1:5" x14ac:dyDescent="0.2">
      <c r="A17">
        <v>20</v>
      </c>
      <c r="B17" t="s">
        <v>20</v>
      </c>
      <c r="C17" t="s">
        <v>468</v>
      </c>
      <c r="D17" t="s">
        <v>1378</v>
      </c>
    </row>
    <row r="18" spans="1:5" x14ac:dyDescent="0.2">
      <c r="A18">
        <v>200</v>
      </c>
      <c r="B18" t="s">
        <v>20</v>
      </c>
      <c r="C18" t="s">
        <v>579</v>
      </c>
      <c r="D18" t="s">
        <v>1378</v>
      </c>
    </row>
    <row r="19" spans="1:5" x14ac:dyDescent="0.2">
      <c r="A19">
        <v>40</v>
      </c>
      <c r="B19" t="s">
        <v>20</v>
      </c>
      <c r="C19" t="s">
        <v>581</v>
      </c>
      <c r="D19" t="s">
        <v>1378</v>
      </c>
    </row>
    <row r="20" spans="1:5" x14ac:dyDescent="0.2">
      <c r="A20">
        <v>40</v>
      </c>
      <c r="B20" t="s">
        <v>20</v>
      </c>
      <c r="C20" t="s">
        <v>631</v>
      </c>
      <c r="D20" t="s">
        <v>1378</v>
      </c>
    </row>
    <row r="21" spans="1:5" x14ac:dyDescent="0.2">
      <c r="A21">
        <v>10</v>
      </c>
      <c r="B21" t="s">
        <v>20</v>
      </c>
      <c r="C21" t="s">
        <v>676</v>
      </c>
      <c r="D21" t="s">
        <v>1378</v>
      </c>
    </row>
    <row r="22" spans="1:5" x14ac:dyDescent="0.2">
      <c r="A22">
        <v>50</v>
      </c>
      <c r="B22" t="s">
        <v>20</v>
      </c>
      <c r="C22" t="s">
        <v>745</v>
      </c>
      <c r="D22" t="s">
        <v>1378</v>
      </c>
    </row>
    <row r="23" spans="1:5" x14ac:dyDescent="0.2">
      <c r="A23">
        <v>300</v>
      </c>
      <c r="B23" t="s">
        <v>20</v>
      </c>
      <c r="C23" t="s">
        <v>779</v>
      </c>
      <c r="D23" t="s">
        <v>1378</v>
      </c>
    </row>
    <row r="24" spans="1:5" x14ac:dyDescent="0.2">
      <c r="A24">
        <v>40</v>
      </c>
      <c r="B24" t="s">
        <v>20</v>
      </c>
      <c r="C24" t="s">
        <v>889</v>
      </c>
      <c r="D24" t="s">
        <v>1378</v>
      </c>
    </row>
    <row r="25" spans="1:5" x14ac:dyDescent="0.2">
      <c r="A25">
        <v>7</v>
      </c>
      <c r="B25" t="s">
        <v>20</v>
      </c>
      <c r="C25" t="s">
        <v>922</v>
      </c>
      <c r="D25" t="s">
        <v>1378</v>
      </c>
    </row>
    <row r="26" spans="1:5" x14ac:dyDescent="0.2">
      <c r="A26">
        <v>30</v>
      </c>
      <c r="B26" t="s">
        <v>20</v>
      </c>
      <c r="C26" t="s">
        <v>930</v>
      </c>
      <c r="D26" t="s">
        <v>1378</v>
      </c>
    </row>
    <row r="27" spans="1:5" x14ac:dyDescent="0.2">
      <c r="A27">
        <v>35</v>
      </c>
      <c r="B27" t="s">
        <v>20</v>
      </c>
      <c r="C27" t="s">
        <v>945</v>
      </c>
      <c r="D27" t="s">
        <v>1378</v>
      </c>
    </row>
    <row r="28" spans="1:5" x14ac:dyDescent="0.2">
      <c r="A28">
        <v>66</v>
      </c>
      <c r="B28" t="s">
        <v>20</v>
      </c>
      <c r="C28" t="s">
        <v>988</v>
      </c>
      <c r="D28" t="s">
        <v>1378</v>
      </c>
      <c r="E28" s="25"/>
    </row>
    <row r="29" spans="1:5" x14ac:dyDescent="0.2">
      <c r="A29">
        <v>9</v>
      </c>
      <c r="B29" t="s">
        <v>20</v>
      </c>
      <c r="C29" t="s">
        <v>1003</v>
      </c>
      <c r="D29" t="s">
        <v>1378</v>
      </c>
    </row>
    <row r="30" spans="1:5" x14ac:dyDescent="0.2">
      <c r="A30">
        <v>20</v>
      </c>
      <c r="B30" t="s">
        <v>20</v>
      </c>
      <c r="C30" t="s">
        <v>54</v>
      </c>
      <c r="D30" t="s">
        <v>1379</v>
      </c>
    </row>
    <row r="31" spans="1:5" x14ac:dyDescent="0.2">
      <c r="A31">
        <v>10</v>
      </c>
      <c r="B31" t="s">
        <v>20</v>
      </c>
      <c r="C31" t="s">
        <v>204</v>
      </c>
      <c r="D31" t="s">
        <v>1379</v>
      </c>
    </row>
    <row r="32" spans="1:5" x14ac:dyDescent="0.2">
      <c r="A32">
        <v>20</v>
      </c>
      <c r="B32" t="s">
        <v>20</v>
      </c>
      <c r="C32" t="s">
        <v>223</v>
      </c>
      <c r="D32" t="s">
        <v>1379</v>
      </c>
    </row>
    <row r="33" spans="1:4" x14ac:dyDescent="0.2">
      <c r="A33">
        <v>10</v>
      </c>
      <c r="B33" t="s">
        <v>20</v>
      </c>
      <c r="C33" t="s">
        <v>271</v>
      </c>
      <c r="D33" t="s">
        <v>1379</v>
      </c>
    </row>
    <row r="34" spans="1:4" x14ac:dyDescent="0.2">
      <c r="A34">
        <v>1</v>
      </c>
      <c r="B34" t="s">
        <v>32</v>
      </c>
      <c r="C34" t="s">
        <v>283</v>
      </c>
      <c r="D34" t="s">
        <v>1379</v>
      </c>
    </row>
    <row r="35" spans="1:4" x14ac:dyDescent="0.2">
      <c r="A35">
        <v>10</v>
      </c>
      <c r="B35" t="s">
        <v>20</v>
      </c>
      <c r="C35" t="s">
        <v>311</v>
      </c>
      <c r="D35" t="s">
        <v>1379</v>
      </c>
    </row>
    <row r="36" spans="1:4" x14ac:dyDescent="0.2">
      <c r="A36">
        <v>20</v>
      </c>
      <c r="B36" t="s">
        <v>20</v>
      </c>
      <c r="C36" t="s">
        <v>468</v>
      </c>
      <c r="D36" t="s">
        <v>1379</v>
      </c>
    </row>
    <row r="37" spans="1:4" x14ac:dyDescent="0.2">
      <c r="A37">
        <v>40</v>
      </c>
      <c r="B37" t="s">
        <v>20</v>
      </c>
      <c r="C37" t="s">
        <v>495</v>
      </c>
      <c r="D37" t="s">
        <v>1379</v>
      </c>
    </row>
    <row r="38" spans="1:4" x14ac:dyDescent="0.2">
      <c r="A38">
        <v>25</v>
      </c>
      <c r="B38" t="s">
        <v>20</v>
      </c>
      <c r="C38" t="s">
        <v>555</v>
      </c>
      <c r="D38" t="s">
        <v>1379</v>
      </c>
    </row>
    <row r="39" spans="1:4" x14ac:dyDescent="0.2">
      <c r="A39">
        <v>50</v>
      </c>
      <c r="B39" t="s">
        <v>20</v>
      </c>
      <c r="C39" t="s">
        <v>579</v>
      </c>
      <c r="D39" t="s">
        <v>1379</v>
      </c>
    </row>
    <row r="40" spans="1:4" x14ac:dyDescent="0.2">
      <c r="A40">
        <v>20</v>
      </c>
      <c r="B40" t="s">
        <v>20</v>
      </c>
      <c r="C40" t="s">
        <v>581</v>
      </c>
      <c r="D40" t="s">
        <v>1379</v>
      </c>
    </row>
    <row r="41" spans="1:4" x14ac:dyDescent="0.2">
      <c r="A41">
        <v>50</v>
      </c>
      <c r="B41" t="s">
        <v>20</v>
      </c>
      <c r="C41" t="s">
        <v>745</v>
      </c>
      <c r="D41" t="s">
        <v>1379</v>
      </c>
    </row>
    <row r="42" spans="1:4" x14ac:dyDescent="0.2">
      <c r="A42">
        <v>100</v>
      </c>
      <c r="B42" t="s">
        <v>20</v>
      </c>
      <c r="C42" t="s">
        <v>768</v>
      </c>
      <c r="D42" t="s">
        <v>1379</v>
      </c>
    </row>
    <row r="43" spans="1:4" x14ac:dyDescent="0.2">
      <c r="A43">
        <v>50</v>
      </c>
      <c r="B43" t="s">
        <v>20</v>
      </c>
      <c r="C43" t="s">
        <v>770</v>
      </c>
      <c r="D43" t="s">
        <v>1379</v>
      </c>
    </row>
    <row r="44" spans="1:4" x14ac:dyDescent="0.2">
      <c r="A44">
        <v>20</v>
      </c>
      <c r="B44" t="s">
        <v>20</v>
      </c>
      <c r="C44" t="s">
        <v>777</v>
      </c>
      <c r="D44" t="s">
        <v>1379</v>
      </c>
    </row>
    <row r="45" spans="1:4" x14ac:dyDescent="0.2">
      <c r="A45">
        <v>2</v>
      </c>
      <c r="B45" t="s">
        <v>32</v>
      </c>
      <c r="C45" t="s">
        <v>911</v>
      </c>
      <c r="D45" t="s">
        <v>1379</v>
      </c>
    </row>
    <row r="46" spans="1:4" x14ac:dyDescent="0.2">
      <c r="A46">
        <v>18</v>
      </c>
      <c r="B46" t="s">
        <v>20</v>
      </c>
      <c r="C46" t="s">
        <v>1003</v>
      </c>
      <c r="D46" t="s">
        <v>1379</v>
      </c>
    </row>
    <row r="47" spans="1:4" x14ac:dyDescent="0.2">
      <c r="A47">
        <v>40</v>
      </c>
      <c r="B47" t="s">
        <v>20</v>
      </c>
      <c r="C47" t="s">
        <v>45</v>
      </c>
      <c r="D47" t="s">
        <v>1385</v>
      </c>
    </row>
    <row r="48" spans="1:4" x14ac:dyDescent="0.2">
      <c r="A48">
        <v>20</v>
      </c>
      <c r="B48" t="s">
        <v>20</v>
      </c>
      <c r="C48" t="s">
        <v>146</v>
      </c>
      <c r="D48" t="s">
        <v>1385</v>
      </c>
    </row>
    <row r="49" spans="1:4" x14ac:dyDescent="0.2">
      <c r="A49">
        <v>5</v>
      </c>
      <c r="B49" t="s">
        <v>20</v>
      </c>
      <c r="C49" t="s">
        <v>178</v>
      </c>
      <c r="D49" t="s">
        <v>1385</v>
      </c>
    </row>
    <row r="50" spans="1:4" x14ac:dyDescent="0.2">
      <c r="A50">
        <v>5</v>
      </c>
      <c r="B50" t="s">
        <v>20</v>
      </c>
      <c r="C50" t="s">
        <v>183</v>
      </c>
      <c r="D50" t="s">
        <v>1385</v>
      </c>
    </row>
    <row r="51" spans="1:4" x14ac:dyDescent="0.2">
      <c r="A51">
        <v>25</v>
      </c>
      <c r="B51" t="s">
        <v>20</v>
      </c>
      <c r="C51" t="s">
        <v>223</v>
      </c>
      <c r="D51" t="s">
        <v>1385</v>
      </c>
    </row>
    <row r="52" spans="1:4" x14ac:dyDescent="0.2">
      <c r="A52">
        <v>60</v>
      </c>
      <c r="B52" t="s">
        <v>20</v>
      </c>
      <c r="C52" t="s">
        <v>243</v>
      </c>
      <c r="D52" t="s">
        <v>1385</v>
      </c>
    </row>
    <row r="53" spans="1:4" x14ac:dyDescent="0.2">
      <c r="A53">
        <v>40</v>
      </c>
      <c r="B53" t="s">
        <v>20</v>
      </c>
      <c r="C53" t="s">
        <v>248</v>
      </c>
      <c r="D53" t="s">
        <v>1385</v>
      </c>
    </row>
    <row r="54" spans="1:4" x14ac:dyDescent="0.2">
      <c r="A54">
        <v>30</v>
      </c>
      <c r="B54" t="s">
        <v>20</v>
      </c>
      <c r="C54" t="s">
        <v>263</v>
      </c>
      <c r="D54" t="s">
        <v>1385</v>
      </c>
    </row>
    <row r="55" spans="1:4" x14ac:dyDescent="0.2">
      <c r="A55">
        <v>5</v>
      </c>
      <c r="B55" t="s">
        <v>20</v>
      </c>
      <c r="C55" t="s">
        <v>299</v>
      </c>
      <c r="D55" t="s">
        <v>1385</v>
      </c>
    </row>
    <row r="56" spans="1:4" x14ac:dyDescent="0.2">
      <c r="A56">
        <v>15</v>
      </c>
      <c r="B56" t="s">
        <v>20</v>
      </c>
      <c r="C56" t="s">
        <v>311</v>
      </c>
      <c r="D56" t="s">
        <v>1385</v>
      </c>
    </row>
    <row r="57" spans="1:4" x14ac:dyDescent="0.2">
      <c r="A57">
        <v>25</v>
      </c>
      <c r="B57" t="s">
        <v>20</v>
      </c>
      <c r="C57" t="s">
        <v>339</v>
      </c>
      <c r="D57" t="s">
        <v>1385</v>
      </c>
    </row>
    <row r="58" spans="1:4" x14ac:dyDescent="0.2">
      <c r="A58">
        <v>5</v>
      </c>
      <c r="B58" t="s">
        <v>20</v>
      </c>
      <c r="C58" t="s">
        <v>1229</v>
      </c>
      <c r="D58" t="s">
        <v>1385</v>
      </c>
    </row>
    <row r="59" spans="1:4" x14ac:dyDescent="0.2">
      <c r="A59">
        <v>10</v>
      </c>
      <c r="B59" t="s">
        <v>20</v>
      </c>
      <c r="C59" t="s">
        <v>371</v>
      </c>
      <c r="D59" t="s">
        <v>1385</v>
      </c>
    </row>
    <row r="60" spans="1:4" x14ac:dyDescent="0.2">
      <c r="A60">
        <v>9</v>
      </c>
      <c r="B60" t="s">
        <v>20</v>
      </c>
      <c r="C60" t="s">
        <v>393</v>
      </c>
      <c r="D60" t="s">
        <v>1385</v>
      </c>
    </row>
    <row r="61" spans="1:4" x14ac:dyDescent="0.2">
      <c r="A61">
        <v>9</v>
      </c>
      <c r="B61" t="s">
        <v>20</v>
      </c>
      <c r="C61" t="s">
        <v>1158</v>
      </c>
      <c r="D61" t="s">
        <v>1385</v>
      </c>
    </row>
    <row r="62" spans="1:4" x14ac:dyDescent="0.2">
      <c r="A62">
        <v>16</v>
      </c>
      <c r="B62" t="s">
        <v>20</v>
      </c>
      <c r="C62" t="s">
        <v>405</v>
      </c>
      <c r="D62" t="s">
        <v>1385</v>
      </c>
    </row>
    <row r="63" spans="1:4" x14ac:dyDescent="0.2">
      <c r="A63">
        <v>40</v>
      </c>
      <c r="B63" t="s">
        <v>20</v>
      </c>
      <c r="C63" t="s">
        <v>414</v>
      </c>
      <c r="D63" t="s">
        <v>1385</v>
      </c>
    </row>
    <row r="64" spans="1:4" x14ac:dyDescent="0.2">
      <c r="A64">
        <v>10</v>
      </c>
      <c r="B64" t="s">
        <v>20</v>
      </c>
      <c r="C64" t="s">
        <v>430</v>
      </c>
      <c r="D64" t="s">
        <v>1385</v>
      </c>
    </row>
    <row r="65" spans="1:4" x14ac:dyDescent="0.2">
      <c r="A65">
        <v>10</v>
      </c>
      <c r="B65" t="s">
        <v>20</v>
      </c>
      <c r="C65" t="s">
        <v>448</v>
      </c>
      <c r="D65" t="s">
        <v>1385</v>
      </c>
    </row>
    <row r="66" spans="1:4" x14ac:dyDescent="0.2">
      <c r="A66">
        <v>15</v>
      </c>
      <c r="B66" t="s">
        <v>20</v>
      </c>
      <c r="C66" t="s">
        <v>468</v>
      </c>
      <c r="D66" t="s">
        <v>1385</v>
      </c>
    </row>
    <row r="67" spans="1:4" x14ac:dyDescent="0.2">
      <c r="A67">
        <v>16</v>
      </c>
      <c r="B67" t="s">
        <v>20</v>
      </c>
      <c r="C67" t="s">
        <v>1129</v>
      </c>
      <c r="D67" t="s">
        <v>1385</v>
      </c>
    </row>
    <row r="68" spans="1:4" x14ac:dyDescent="0.2">
      <c r="A68">
        <v>2</v>
      </c>
      <c r="B68" t="s">
        <v>20</v>
      </c>
      <c r="C68" t="s">
        <v>528</v>
      </c>
      <c r="D68" t="s">
        <v>1385</v>
      </c>
    </row>
    <row r="69" spans="1:4" x14ac:dyDescent="0.2">
      <c r="A69">
        <v>7</v>
      </c>
      <c r="B69" t="s">
        <v>20</v>
      </c>
      <c r="C69" t="s">
        <v>543</v>
      </c>
      <c r="D69" t="s">
        <v>1385</v>
      </c>
    </row>
    <row r="70" spans="1:4" x14ac:dyDescent="0.2">
      <c r="A70">
        <v>225</v>
      </c>
      <c r="B70" t="s">
        <v>20</v>
      </c>
      <c r="C70" t="s">
        <v>579</v>
      </c>
      <c r="D70" t="s">
        <v>1385</v>
      </c>
    </row>
    <row r="71" spans="1:4" x14ac:dyDescent="0.2">
      <c r="A71">
        <v>40</v>
      </c>
      <c r="B71" t="s">
        <v>20</v>
      </c>
      <c r="C71" t="s">
        <v>581</v>
      </c>
      <c r="D71" t="s">
        <v>1385</v>
      </c>
    </row>
    <row r="72" spans="1:4" x14ac:dyDescent="0.2">
      <c r="A72">
        <v>20</v>
      </c>
      <c r="B72" t="s">
        <v>20</v>
      </c>
      <c r="C72" t="s">
        <v>631</v>
      </c>
      <c r="D72" t="s">
        <v>1385</v>
      </c>
    </row>
    <row r="73" spans="1:4" x14ac:dyDescent="0.2">
      <c r="A73">
        <v>10</v>
      </c>
      <c r="B73" t="s">
        <v>20</v>
      </c>
      <c r="C73" t="s">
        <v>642</v>
      </c>
      <c r="D73" t="s">
        <v>1385</v>
      </c>
    </row>
    <row r="74" spans="1:4" x14ac:dyDescent="0.2">
      <c r="A74">
        <v>5</v>
      </c>
      <c r="B74" t="s">
        <v>20</v>
      </c>
      <c r="C74" t="s">
        <v>654</v>
      </c>
      <c r="D74" t="s">
        <v>1385</v>
      </c>
    </row>
    <row r="75" spans="1:4" x14ac:dyDescent="0.2">
      <c r="A75">
        <v>5</v>
      </c>
      <c r="B75" t="s">
        <v>20</v>
      </c>
      <c r="C75" t="s">
        <v>656</v>
      </c>
      <c r="D75" t="s">
        <v>1385</v>
      </c>
    </row>
    <row r="76" spans="1:4" x14ac:dyDescent="0.2">
      <c r="A76">
        <v>25</v>
      </c>
      <c r="B76" t="s">
        <v>20</v>
      </c>
      <c r="C76" t="s">
        <v>676</v>
      </c>
      <c r="D76" t="s">
        <v>1385</v>
      </c>
    </row>
    <row r="77" spans="1:4" x14ac:dyDescent="0.2">
      <c r="A77">
        <v>175</v>
      </c>
      <c r="B77" t="s">
        <v>20</v>
      </c>
      <c r="C77" t="s">
        <v>779</v>
      </c>
      <c r="D77" t="s">
        <v>1385</v>
      </c>
    </row>
    <row r="78" spans="1:4" x14ac:dyDescent="0.2">
      <c r="A78">
        <v>10</v>
      </c>
      <c r="B78" t="s">
        <v>20</v>
      </c>
      <c r="C78" t="s">
        <v>809</v>
      </c>
      <c r="D78" t="s">
        <v>1385</v>
      </c>
    </row>
    <row r="79" spans="1:4" x14ac:dyDescent="0.2">
      <c r="A79">
        <v>45</v>
      </c>
      <c r="B79" t="s">
        <v>20</v>
      </c>
      <c r="C79" t="s">
        <v>930</v>
      </c>
      <c r="D79" t="s">
        <v>1385</v>
      </c>
    </row>
    <row r="80" spans="1:4" x14ac:dyDescent="0.2">
      <c r="A80">
        <v>25</v>
      </c>
      <c r="B80" t="s">
        <v>20</v>
      </c>
      <c r="C80" t="s">
        <v>945</v>
      </c>
      <c r="D80" t="s">
        <v>1385</v>
      </c>
    </row>
    <row r="81" spans="1:4" x14ac:dyDescent="0.2">
      <c r="A81">
        <v>66</v>
      </c>
      <c r="B81" t="s">
        <v>20</v>
      </c>
      <c r="C81" t="s">
        <v>988</v>
      </c>
      <c r="D81" t="s">
        <v>1385</v>
      </c>
    </row>
    <row r="82" spans="1:4" x14ac:dyDescent="0.2">
      <c r="A82">
        <v>18</v>
      </c>
      <c r="B82" t="s">
        <v>20</v>
      </c>
      <c r="C82" t="s">
        <v>1003</v>
      </c>
      <c r="D82" t="s">
        <v>1385</v>
      </c>
    </row>
    <row r="83" spans="1:4" x14ac:dyDescent="0.2">
      <c r="A83">
        <v>175</v>
      </c>
      <c r="B83" t="s">
        <v>20</v>
      </c>
      <c r="C83" t="s">
        <v>45</v>
      </c>
      <c r="D83" t="s">
        <v>1386</v>
      </c>
    </row>
    <row r="84" spans="1:4" x14ac:dyDescent="0.2">
      <c r="A84">
        <v>80</v>
      </c>
      <c r="B84" t="s">
        <v>20</v>
      </c>
      <c r="C84" t="s">
        <v>146</v>
      </c>
      <c r="D84" t="s">
        <v>1386</v>
      </c>
    </row>
    <row r="85" spans="1:4" x14ac:dyDescent="0.2">
      <c r="A85">
        <v>35</v>
      </c>
      <c r="B85" t="s">
        <v>20</v>
      </c>
      <c r="C85" t="s">
        <v>178</v>
      </c>
      <c r="D85" t="s">
        <v>1386</v>
      </c>
    </row>
    <row r="86" spans="1:4" x14ac:dyDescent="0.2">
      <c r="A86">
        <v>150</v>
      </c>
      <c r="B86" t="s">
        <v>20</v>
      </c>
      <c r="C86" t="s">
        <v>223</v>
      </c>
      <c r="D86" t="s">
        <v>1386</v>
      </c>
    </row>
    <row r="87" spans="1:4" x14ac:dyDescent="0.2">
      <c r="A87">
        <v>175</v>
      </c>
      <c r="B87" t="s">
        <v>20</v>
      </c>
      <c r="C87" t="s">
        <v>243</v>
      </c>
      <c r="D87" t="s">
        <v>1386</v>
      </c>
    </row>
    <row r="88" spans="1:4" x14ac:dyDescent="0.2">
      <c r="A88">
        <v>100</v>
      </c>
      <c r="B88" t="s">
        <v>20</v>
      </c>
      <c r="C88" t="s">
        <v>248</v>
      </c>
      <c r="D88" t="s">
        <v>1386</v>
      </c>
    </row>
    <row r="89" spans="1:4" x14ac:dyDescent="0.2">
      <c r="A89">
        <v>10</v>
      </c>
      <c r="B89" t="s">
        <v>20</v>
      </c>
      <c r="C89" t="s">
        <v>271</v>
      </c>
      <c r="D89" t="s">
        <v>1386</v>
      </c>
    </row>
    <row r="90" spans="1:4" x14ac:dyDescent="0.2">
      <c r="A90">
        <v>100</v>
      </c>
      <c r="B90" t="s">
        <v>20</v>
      </c>
      <c r="C90" t="s">
        <v>311</v>
      </c>
      <c r="D90" t="s">
        <v>1386</v>
      </c>
    </row>
    <row r="91" spans="1:4" x14ac:dyDescent="0.2">
      <c r="A91">
        <v>2</v>
      </c>
      <c r="B91" t="s">
        <v>20</v>
      </c>
      <c r="C91" t="s">
        <v>327</v>
      </c>
      <c r="D91" t="s">
        <v>1386</v>
      </c>
    </row>
    <row r="92" spans="1:4" x14ac:dyDescent="0.2">
      <c r="A92">
        <v>10</v>
      </c>
      <c r="B92" t="s">
        <v>20</v>
      </c>
      <c r="C92" t="s">
        <v>439</v>
      </c>
      <c r="D92" t="s">
        <v>1386</v>
      </c>
    </row>
    <row r="93" spans="1:4" x14ac:dyDescent="0.2">
      <c r="A93">
        <v>60</v>
      </c>
      <c r="B93" t="s">
        <v>20</v>
      </c>
      <c r="C93" t="s">
        <v>448</v>
      </c>
      <c r="D93" t="s">
        <v>1386</v>
      </c>
    </row>
    <row r="94" spans="1:4" x14ac:dyDescent="0.2">
      <c r="A94">
        <v>80</v>
      </c>
      <c r="B94" t="s">
        <v>20</v>
      </c>
      <c r="C94" t="s">
        <v>468</v>
      </c>
      <c r="D94" t="s">
        <v>1386</v>
      </c>
    </row>
    <row r="95" spans="1:4" x14ac:dyDescent="0.2">
      <c r="A95">
        <v>150</v>
      </c>
      <c r="B95" t="s">
        <v>20</v>
      </c>
      <c r="C95" t="s">
        <v>579</v>
      </c>
      <c r="D95" t="s">
        <v>1386</v>
      </c>
    </row>
    <row r="96" spans="1:4" x14ac:dyDescent="0.2">
      <c r="A96">
        <v>175</v>
      </c>
      <c r="B96" t="s">
        <v>20</v>
      </c>
      <c r="C96" t="s">
        <v>581</v>
      </c>
      <c r="D96" t="s">
        <v>1386</v>
      </c>
    </row>
    <row r="97" spans="1:4" x14ac:dyDescent="0.2">
      <c r="A97">
        <v>80</v>
      </c>
      <c r="B97" t="s">
        <v>20</v>
      </c>
      <c r="C97" t="s">
        <v>631</v>
      </c>
      <c r="D97" t="s">
        <v>1386</v>
      </c>
    </row>
    <row r="98" spans="1:4" x14ac:dyDescent="0.2">
      <c r="A98">
        <v>5</v>
      </c>
      <c r="B98" t="s">
        <v>20</v>
      </c>
      <c r="C98" t="s">
        <v>642</v>
      </c>
      <c r="D98" t="s">
        <v>1386</v>
      </c>
    </row>
    <row r="99" spans="1:4" x14ac:dyDescent="0.2">
      <c r="A99">
        <v>50</v>
      </c>
      <c r="B99" t="s">
        <v>20</v>
      </c>
      <c r="C99" t="s">
        <v>676</v>
      </c>
      <c r="D99" t="s">
        <v>1386</v>
      </c>
    </row>
    <row r="100" spans="1:4" x14ac:dyDescent="0.2">
      <c r="A100">
        <v>651</v>
      </c>
      <c r="B100" t="s">
        <v>20</v>
      </c>
      <c r="C100" t="s">
        <v>779</v>
      </c>
      <c r="D100" t="s">
        <v>1386</v>
      </c>
    </row>
    <row r="101" spans="1:4" x14ac:dyDescent="0.2">
      <c r="A101">
        <v>150</v>
      </c>
      <c r="B101" t="s">
        <v>20</v>
      </c>
      <c r="C101" t="s">
        <v>945</v>
      </c>
      <c r="D101" t="s">
        <v>1386</v>
      </c>
    </row>
    <row r="102" spans="1:4" x14ac:dyDescent="0.2">
      <c r="A102">
        <v>20</v>
      </c>
      <c r="B102" t="s">
        <v>20</v>
      </c>
      <c r="C102" t="s">
        <v>34</v>
      </c>
      <c r="D102" t="s">
        <v>1389</v>
      </c>
    </row>
    <row r="103" spans="1:4" x14ac:dyDescent="0.2">
      <c r="A103">
        <v>20</v>
      </c>
      <c r="B103" t="s">
        <v>20</v>
      </c>
      <c r="C103" t="s">
        <v>45</v>
      </c>
      <c r="D103" t="s">
        <v>1389</v>
      </c>
    </row>
    <row r="104" spans="1:4" x14ac:dyDescent="0.2">
      <c r="A104">
        <v>20</v>
      </c>
      <c r="B104" t="s">
        <v>20</v>
      </c>
      <c r="C104" t="s">
        <v>146</v>
      </c>
      <c r="D104" t="s">
        <v>1389</v>
      </c>
    </row>
    <row r="105" spans="1:4" x14ac:dyDescent="0.2">
      <c r="A105">
        <v>12</v>
      </c>
      <c r="B105" t="s">
        <v>20</v>
      </c>
      <c r="C105" t="s">
        <v>178</v>
      </c>
      <c r="D105" t="s">
        <v>1389</v>
      </c>
    </row>
    <row r="106" spans="1:4" x14ac:dyDescent="0.2">
      <c r="A106">
        <v>11</v>
      </c>
      <c r="B106" t="s">
        <v>20</v>
      </c>
      <c r="C106" t="s">
        <v>204</v>
      </c>
      <c r="D106" t="s">
        <v>1389</v>
      </c>
    </row>
    <row r="107" spans="1:4" x14ac:dyDescent="0.2">
      <c r="A107">
        <v>20</v>
      </c>
      <c r="B107" t="s">
        <v>20</v>
      </c>
      <c r="C107" t="s">
        <v>228</v>
      </c>
      <c r="D107" t="s">
        <v>1389</v>
      </c>
    </row>
    <row r="108" spans="1:4" x14ac:dyDescent="0.2">
      <c r="A108">
        <v>25</v>
      </c>
      <c r="B108" t="s">
        <v>20</v>
      </c>
      <c r="C108" t="s">
        <v>223</v>
      </c>
      <c r="D108" t="s">
        <v>1389</v>
      </c>
    </row>
    <row r="109" spans="1:4" x14ac:dyDescent="0.2">
      <c r="A109">
        <v>25</v>
      </c>
      <c r="B109" t="s">
        <v>20</v>
      </c>
      <c r="C109" t="s">
        <v>248</v>
      </c>
      <c r="D109" t="s">
        <v>1389</v>
      </c>
    </row>
    <row r="110" spans="1:4" x14ac:dyDescent="0.2">
      <c r="A110">
        <v>25</v>
      </c>
      <c r="B110" t="s">
        <v>20</v>
      </c>
      <c r="C110" t="s">
        <v>311</v>
      </c>
      <c r="D110" t="s">
        <v>1389</v>
      </c>
    </row>
    <row r="111" spans="1:4" x14ac:dyDescent="0.2">
      <c r="A111">
        <v>20</v>
      </c>
      <c r="B111" t="s">
        <v>20</v>
      </c>
      <c r="C111" t="s">
        <v>327</v>
      </c>
      <c r="D111" t="s">
        <v>1389</v>
      </c>
    </row>
    <row r="112" spans="1:4" x14ac:dyDescent="0.2">
      <c r="A112">
        <v>12</v>
      </c>
      <c r="B112" t="s">
        <v>20</v>
      </c>
      <c r="C112" t="s">
        <v>339</v>
      </c>
      <c r="D112" t="s">
        <v>1389</v>
      </c>
    </row>
    <row r="113" spans="1:4" x14ac:dyDescent="0.2">
      <c r="A113">
        <v>2</v>
      </c>
      <c r="B113" t="s">
        <v>20</v>
      </c>
      <c r="C113" t="s">
        <v>371</v>
      </c>
      <c r="D113" t="s">
        <v>1389</v>
      </c>
    </row>
    <row r="114" spans="1:4" x14ac:dyDescent="0.2">
      <c r="A114">
        <v>12</v>
      </c>
      <c r="B114" t="s">
        <v>20</v>
      </c>
      <c r="C114" t="s">
        <v>414</v>
      </c>
      <c r="D114" t="s">
        <v>1389</v>
      </c>
    </row>
    <row r="115" spans="1:4" x14ac:dyDescent="0.2">
      <c r="A115">
        <v>10</v>
      </c>
      <c r="B115" t="s">
        <v>20</v>
      </c>
      <c r="C115" t="s">
        <v>439</v>
      </c>
      <c r="D115" t="s">
        <v>1389</v>
      </c>
    </row>
    <row r="116" spans="1:4" x14ac:dyDescent="0.2">
      <c r="A116">
        <v>2</v>
      </c>
      <c r="B116" t="s">
        <v>20</v>
      </c>
      <c r="C116" t="s">
        <v>443</v>
      </c>
      <c r="D116" t="s">
        <v>1389</v>
      </c>
    </row>
    <row r="117" spans="1:4" x14ac:dyDescent="0.2">
      <c r="A117">
        <v>20</v>
      </c>
      <c r="B117" t="s">
        <v>20</v>
      </c>
      <c r="C117" t="s">
        <v>448</v>
      </c>
      <c r="D117" t="s">
        <v>1389</v>
      </c>
    </row>
    <row r="118" spans="1:4" x14ac:dyDescent="0.2">
      <c r="A118">
        <v>20</v>
      </c>
      <c r="B118" t="s">
        <v>20</v>
      </c>
      <c r="C118" t="s">
        <v>468</v>
      </c>
      <c r="D118" t="s">
        <v>1389</v>
      </c>
    </row>
    <row r="119" spans="1:4" x14ac:dyDescent="0.2">
      <c r="A119">
        <v>75</v>
      </c>
      <c r="B119" t="s">
        <v>20</v>
      </c>
      <c r="C119" t="s">
        <v>579</v>
      </c>
      <c r="D119" t="s">
        <v>1389</v>
      </c>
    </row>
    <row r="120" spans="1:4" x14ac:dyDescent="0.2">
      <c r="A120">
        <v>20</v>
      </c>
      <c r="B120" t="s">
        <v>20</v>
      </c>
      <c r="C120" t="s">
        <v>581</v>
      </c>
      <c r="D120" t="s">
        <v>1389</v>
      </c>
    </row>
    <row r="121" spans="1:4" x14ac:dyDescent="0.2">
      <c r="A121">
        <v>2</v>
      </c>
      <c r="B121" t="s">
        <v>20</v>
      </c>
      <c r="C121" t="s">
        <v>612</v>
      </c>
      <c r="D121" t="s">
        <v>1389</v>
      </c>
    </row>
    <row r="122" spans="1:4" x14ac:dyDescent="0.2">
      <c r="A122">
        <v>20</v>
      </c>
      <c r="B122" t="s">
        <v>20</v>
      </c>
      <c r="C122" t="s">
        <v>631</v>
      </c>
      <c r="D122" t="s">
        <v>1389</v>
      </c>
    </row>
    <row r="123" spans="1:4" x14ac:dyDescent="0.2">
      <c r="A123">
        <v>5</v>
      </c>
      <c r="B123" t="s">
        <v>20</v>
      </c>
      <c r="C123" t="s">
        <v>654</v>
      </c>
      <c r="D123" t="s">
        <v>1389</v>
      </c>
    </row>
    <row r="124" spans="1:4" x14ac:dyDescent="0.2">
      <c r="A124">
        <v>12</v>
      </c>
      <c r="B124" t="s">
        <v>20</v>
      </c>
      <c r="C124" t="s">
        <v>676</v>
      </c>
      <c r="D124" t="s">
        <v>1389</v>
      </c>
    </row>
    <row r="125" spans="1:4" x14ac:dyDescent="0.2">
      <c r="A125">
        <v>12</v>
      </c>
      <c r="B125" t="s">
        <v>20</v>
      </c>
      <c r="C125" t="s">
        <v>745</v>
      </c>
      <c r="D125" t="s">
        <v>1389</v>
      </c>
    </row>
    <row r="126" spans="1:4" x14ac:dyDescent="0.2">
      <c r="A126">
        <v>175</v>
      </c>
      <c r="B126" t="s">
        <v>20</v>
      </c>
      <c r="C126" t="s">
        <v>779</v>
      </c>
      <c r="D126" t="s">
        <v>1389</v>
      </c>
    </row>
    <row r="127" spans="1:4" x14ac:dyDescent="0.2">
      <c r="A127">
        <v>20</v>
      </c>
      <c r="B127" t="s">
        <v>20</v>
      </c>
      <c r="C127" t="s">
        <v>809</v>
      </c>
      <c r="D127" t="s">
        <v>1389</v>
      </c>
    </row>
    <row r="128" spans="1:4" x14ac:dyDescent="0.2">
      <c r="A128">
        <v>15</v>
      </c>
      <c r="B128" t="s">
        <v>20</v>
      </c>
      <c r="C128" t="s">
        <v>930</v>
      </c>
      <c r="D128" t="s">
        <v>1389</v>
      </c>
    </row>
    <row r="129" spans="1:4" x14ac:dyDescent="0.2">
      <c r="A129">
        <v>25</v>
      </c>
      <c r="B129" t="s">
        <v>20</v>
      </c>
      <c r="C129" t="s">
        <v>945</v>
      </c>
      <c r="D129" t="s">
        <v>1389</v>
      </c>
    </row>
    <row r="130" spans="1:4" x14ac:dyDescent="0.2">
      <c r="A130">
        <v>22</v>
      </c>
      <c r="B130" t="s">
        <v>20</v>
      </c>
      <c r="C130" t="s">
        <v>988</v>
      </c>
      <c r="D130" t="s">
        <v>1389</v>
      </c>
    </row>
    <row r="131" spans="1:4" x14ac:dyDescent="0.2">
      <c r="A131">
        <v>60</v>
      </c>
      <c r="B131" t="s">
        <v>20</v>
      </c>
      <c r="C131" t="s">
        <v>45</v>
      </c>
      <c r="D131" t="s">
        <v>1390</v>
      </c>
    </row>
    <row r="132" spans="1:4" x14ac:dyDescent="0.2">
      <c r="A132">
        <v>60</v>
      </c>
      <c r="B132" t="s">
        <v>20</v>
      </c>
      <c r="C132" t="s">
        <v>146</v>
      </c>
      <c r="D132" t="s">
        <v>1390</v>
      </c>
    </row>
    <row r="133" spans="1:4" x14ac:dyDescent="0.2">
      <c r="A133">
        <v>22</v>
      </c>
      <c r="B133" t="s">
        <v>20</v>
      </c>
      <c r="C133" t="s">
        <v>204</v>
      </c>
      <c r="D133" t="s">
        <v>1390</v>
      </c>
    </row>
    <row r="134" spans="1:4" x14ac:dyDescent="0.2">
      <c r="A134">
        <v>10</v>
      </c>
      <c r="B134" t="s">
        <v>20</v>
      </c>
      <c r="C134" t="s">
        <v>228</v>
      </c>
      <c r="D134" t="s">
        <v>1390</v>
      </c>
    </row>
    <row r="135" spans="1:4" x14ac:dyDescent="0.2">
      <c r="A135">
        <v>50</v>
      </c>
      <c r="B135" t="s">
        <v>20</v>
      </c>
      <c r="C135" t="s">
        <v>223</v>
      </c>
      <c r="D135" t="s">
        <v>1390</v>
      </c>
    </row>
    <row r="136" spans="1:4" x14ac:dyDescent="0.2">
      <c r="A136">
        <v>40</v>
      </c>
      <c r="B136" t="s">
        <v>20</v>
      </c>
      <c r="C136" t="s">
        <v>243</v>
      </c>
      <c r="D136" t="s">
        <v>1390</v>
      </c>
    </row>
    <row r="137" spans="1:4" x14ac:dyDescent="0.2">
      <c r="A137">
        <v>25</v>
      </c>
      <c r="B137" t="s">
        <v>20</v>
      </c>
      <c r="C137" t="s">
        <v>248</v>
      </c>
      <c r="D137" t="s">
        <v>1390</v>
      </c>
    </row>
    <row r="138" spans="1:4" x14ac:dyDescent="0.2">
      <c r="A138">
        <v>40</v>
      </c>
      <c r="B138" t="s">
        <v>20</v>
      </c>
      <c r="C138" t="s">
        <v>263</v>
      </c>
      <c r="D138" t="s">
        <v>1390</v>
      </c>
    </row>
    <row r="139" spans="1:4" x14ac:dyDescent="0.2">
      <c r="A139">
        <v>5</v>
      </c>
      <c r="B139" t="s">
        <v>20</v>
      </c>
      <c r="C139" t="s">
        <v>271</v>
      </c>
      <c r="D139" t="s">
        <v>1390</v>
      </c>
    </row>
    <row r="140" spans="1:4" x14ac:dyDescent="0.2">
      <c r="A140">
        <v>5</v>
      </c>
      <c r="B140" t="s">
        <v>20</v>
      </c>
      <c r="C140" t="s">
        <v>299</v>
      </c>
      <c r="D140" t="s">
        <v>1390</v>
      </c>
    </row>
    <row r="141" spans="1:4" x14ac:dyDescent="0.2">
      <c r="A141">
        <v>35</v>
      </c>
      <c r="B141" t="s">
        <v>20</v>
      </c>
      <c r="C141" t="s">
        <v>311</v>
      </c>
      <c r="D141" t="s">
        <v>1390</v>
      </c>
    </row>
    <row r="142" spans="1:4" x14ac:dyDescent="0.2">
      <c r="A142">
        <v>5</v>
      </c>
      <c r="B142" t="s">
        <v>20</v>
      </c>
      <c r="C142" t="s">
        <v>327</v>
      </c>
      <c r="D142" t="s">
        <v>1390</v>
      </c>
    </row>
    <row r="143" spans="1:4" x14ac:dyDescent="0.2">
      <c r="A143">
        <v>25</v>
      </c>
      <c r="B143" t="s">
        <v>20</v>
      </c>
      <c r="C143" t="s">
        <v>339</v>
      </c>
      <c r="D143" t="s">
        <v>1390</v>
      </c>
    </row>
    <row r="144" spans="1:4" x14ac:dyDescent="0.2">
      <c r="A144">
        <v>5</v>
      </c>
      <c r="B144" t="s">
        <v>20</v>
      </c>
      <c r="C144" t="s">
        <v>371</v>
      </c>
      <c r="D144" t="s">
        <v>1390</v>
      </c>
    </row>
    <row r="145" spans="1:4" x14ac:dyDescent="0.2">
      <c r="A145">
        <v>18</v>
      </c>
      <c r="B145" t="s">
        <v>20</v>
      </c>
      <c r="C145" t="s">
        <v>393</v>
      </c>
      <c r="D145" t="s">
        <v>1390</v>
      </c>
    </row>
    <row r="146" spans="1:4" x14ac:dyDescent="0.2">
      <c r="A146">
        <v>10</v>
      </c>
      <c r="B146" t="s">
        <v>20</v>
      </c>
      <c r="C146" t="s">
        <v>430</v>
      </c>
      <c r="D146" t="s">
        <v>1390</v>
      </c>
    </row>
    <row r="147" spans="1:4" x14ac:dyDescent="0.2">
      <c r="A147">
        <v>5</v>
      </c>
      <c r="B147" t="s">
        <v>20</v>
      </c>
      <c r="C147" t="s">
        <v>439</v>
      </c>
      <c r="D147" t="s">
        <v>1390</v>
      </c>
    </row>
    <row r="148" spans="1:4" x14ac:dyDescent="0.2">
      <c r="A148">
        <v>40</v>
      </c>
      <c r="B148" t="s">
        <v>20</v>
      </c>
      <c r="C148" t="s">
        <v>468</v>
      </c>
      <c r="D148" t="s">
        <v>1390</v>
      </c>
    </row>
    <row r="149" spans="1:4" x14ac:dyDescent="0.2">
      <c r="A149">
        <v>5</v>
      </c>
      <c r="B149" t="s">
        <v>20</v>
      </c>
      <c r="C149" t="s">
        <v>495</v>
      </c>
      <c r="D149" t="s">
        <v>1390</v>
      </c>
    </row>
    <row r="150" spans="1:4" x14ac:dyDescent="0.2">
      <c r="A150">
        <v>10</v>
      </c>
      <c r="B150" t="s">
        <v>20</v>
      </c>
      <c r="C150" t="s">
        <v>534</v>
      </c>
      <c r="D150" t="s">
        <v>1390</v>
      </c>
    </row>
    <row r="151" spans="1:4" x14ac:dyDescent="0.2">
      <c r="A151">
        <v>150</v>
      </c>
      <c r="B151" t="s">
        <v>20</v>
      </c>
      <c r="C151" t="s">
        <v>555</v>
      </c>
      <c r="D151" t="s">
        <v>1390</v>
      </c>
    </row>
    <row r="152" spans="1:4" x14ac:dyDescent="0.2">
      <c r="A152">
        <v>2</v>
      </c>
      <c r="B152" t="s">
        <v>20</v>
      </c>
      <c r="C152" t="s">
        <v>612</v>
      </c>
      <c r="D152" t="s">
        <v>1390</v>
      </c>
    </row>
    <row r="153" spans="1:4" x14ac:dyDescent="0.2">
      <c r="A153">
        <v>30</v>
      </c>
      <c r="B153" t="s">
        <v>20</v>
      </c>
      <c r="C153" t="s">
        <v>631</v>
      </c>
      <c r="D153" t="s">
        <v>1390</v>
      </c>
    </row>
    <row r="154" spans="1:4" x14ac:dyDescent="0.2">
      <c r="A154">
        <v>10</v>
      </c>
      <c r="B154" t="s">
        <v>20</v>
      </c>
      <c r="C154" t="s">
        <v>642</v>
      </c>
      <c r="D154" t="s">
        <v>1390</v>
      </c>
    </row>
    <row r="155" spans="1:4" x14ac:dyDescent="0.2">
      <c r="A155">
        <v>25</v>
      </c>
      <c r="B155" t="s">
        <v>20</v>
      </c>
      <c r="C155" t="s">
        <v>676</v>
      </c>
      <c r="D155" t="s">
        <v>1390</v>
      </c>
    </row>
    <row r="156" spans="1:4" x14ac:dyDescent="0.2">
      <c r="A156">
        <v>25</v>
      </c>
      <c r="B156" t="s">
        <v>20</v>
      </c>
      <c r="C156" t="s">
        <v>745</v>
      </c>
      <c r="D156" t="s">
        <v>1390</v>
      </c>
    </row>
    <row r="157" spans="1:4" x14ac:dyDescent="0.2">
      <c r="A157">
        <v>250</v>
      </c>
      <c r="B157" t="s">
        <v>20</v>
      </c>
      <c r="C157" t="s">
        <v>779</v>
      </c>
      <c r="D157" t="s">
        <v>1390</v>
      </c>
    </row>
    <row r="158" spans="1:4" x14ac:dyDescent="0.2">
      <c r="A158">
        <v>15</v>
      </c>
      <c r="B158" t="s">
        <v>20</v>
      </c>
      <c r="C158" t="s">
        <v>1337</v>
      </c>
      <c r="D158" t="s">
        <v>1390</v>
      </c>
    </row>
    <row r="159" spans="1:4" x14ac:dyDescent="0.2">
      <c r="A159">
        <v>5</v>
      </c>
      <c r="B159" t="s">
        <v>20</v>
      </c>
      <c r="C159" t="s">
        <v>819</v>
      </c>
      <c r="D159" t="s">
        <v>1390</v>
      </c>
    </row>
    <row r="160" spans="1:4" x14ac:dyDescent="0.2">
      <c r="A160">
        <v>10</v>
      </c>
      <c r="B160" t="s">
        <v>20</v>
      </c>
      <c r="C160" t="s">
        <v>860</v>
      </c>
      <c r="D160" t="s">
        <v>1390</v>
      </c>
    </row>
    <row r="161" spans="1:4" x14ac:dyDescent="0.2">
      <c r="A161">
        <v>15</v>
      </c>
      <c r="B161" t="s">
        <v>20</v>
      </c>
      <c r="C161" t="s">
        <v>922</v>
      </c>
      <c r="D161" t="s">
        <v>1390</v>
      </c>
    </row>
    <row r="162" spans="1:4" x14ac:dyDescent="0.2">
      <c r="A162">
        <v>30</v>
      </c>
      <c r="B162" t="s">
        <v>20</v>
      </c>
      <c r="C162" t="s">
        <v>930</v>
      </c>
      <c r="D162" t="s">
        <v>1390</v>
      </c>
    </row>
    <row r="163" spans="1:4" x14ac:dyDescent="0.2">
      <c r="A163">
        <v>100</v>
      </c>
      <c r="B163" t="s">
        <v>20</v>
      </c>
      <c r="C163" t="s">
        <v>945</v>
      </c>
      <c r="D163" t="s">
        <v>1390</v>
      </c>
    </row>
    <row r="164" spans="1:4" x14ac:dyDescent="0.2">
      <c r="A164">
        <v>66</v>
      </c>
      <c r="B164" t="s">
        <v>20</v>
      </c>
      <c r="C164" t="s">
        <v>988</v>
      </c>
      <c r="D164" t="s">
        <v>1390</v>
      </c>
    </row>
    <row r="165" spans="1:4" x14ac:dyDescent="0.2">
      <c r="A165">
        <v>10</v>
      </c>
      <c r="B165" t="s">
        <v>20</v>
      </c>
      <c r="C165" t="s">
        <v>1003</v>
      </c>
      <c r="D165" t="s">
        <v>1390</v>
      </c>
    </row>
    <row r="166" spans="1:4" x14ac:dyDescent="0.2">
      <c r="A166">
        <v>15</v>
      </c>
      <c r="B166" t="s">
        <v>20</v>
      </c>
      <c r="C166" t="s">
        <v>34</v>
      </c>
      <c r="D166" t="s">
        <v>1391</v>
      </c>
    </row>
    <row r="167" spans="1:4" x14ac:dyDescent="0.2">
      <c r="A167">
        <v>15</v>
      </c>
      <c r="B167" t="s">
        <v>20</v>
      </c>
      <c r="C167" t="s">
        <v>54</v>
      </c>
      <c r="D167" t="s">
        <v>1391</v>
      </c>
    </row>
    <row r="168" spans="1:4" x14ac:dyDescent="0.2">
      <c r="A168">
        <v>40</v>
      </c>
      <c r="B168" t="s">
        <v>20</v>
      </c>
      <c r="C168" t="s">
        <v>146</v>
      </c>
      <c r="D168" t="s">
        <v>1391</v>
      </c>
    </row>
    <row r="169" spans="1:4" x14ac:dyDescent="0.2">
      <c r="A169">
        <v>7</v>
      </c>
      <c r="B169" t="s">
        <v>20</v>
      </c>
      <c r="C169" t="s">
        <v>178</v>
      </c>
      <c r="D169" t="s">
        <v>1391</v>
      </c>
    </row>
    <row r="170" spans="1:4" x14ac:dyDescent="0.2">
      <c r="A170">
        <v>7</v>
      </c>
      <c r="B170" t="s">
        <v>20</v>
      </c>
      <c r="C170" t="s">
        <v>190</v>
      </c>
      <c r="D170" t="s">
        <v>1391</v>
      </c>
    </row>
    <row r="171" spans="1:4" x14ac:dyDescent="0.2">
      <c r="A171">
        <v>11</v>
      </c>
      <c r="B171" t="s">
        <v>20</v>
      </c>
      <c r="C171" t="s">
        <v>204</v>
      </c>
      <c r="D171" t="s">
        <v>1391</v>
      </c>
    </row>
    <row r="172" spans="1:4" x14ac:dyDescent="0.2">
      <c r="A172">
        <v>7</v>
      </c>
      <c r="B172" t="s">
        <v>20</v>
      </c>
      <c r="C172" t="s">
        <v>228</v>
      </c>
      <c r="D172" t="s">
        <v>1391</v>
      </c>
    </row>
    <row r="173" spans="1:4" x14ac:dyDescent="0.2">
      <c r="A173">
        <v>5</v>
      </c>
      <c r="B173" t="s">
        <v>20</v>
      </c>
      <c r="C173" t="s">
        <v>223</v>
      </c>
      <c r="D173" t="s">
        <v>1391</v>
      </c>
    </row>
    <row r="174" spans="1:4" x14ac:dyDescent="0.2">
      <c r="A174">
        <v>20</v>
      </c>
      <c r="B174" t="s">
        <v>20</v>
      </c>
      <c r="C174" t="s">
        <v>243</v>
      </c>
      <c r="D174" t="s">
        <v>1391</v>
      </c>
    </row>
    <row r="175" spans="1:4" x14ac:dyDescent="0.2">
      <c r="A175">
        <v>25</v>
      </c>
      <c r="B175" t="s">
        <v>20</v>
      </c>
      <c r="C175" t="s">
        <v>248</v>
      </c>
      <c r="D175" t="s">
        <v>1391</v>
      </c>
    </row>
    <row r="176" spans="1:4" x14ac:dyDescent="0.2">
      <c r="A176">
        <v>15</v>
      </c>
      <c r="B176" t="s">
        <v>20</v>
      </c>
      <c r="C176" t="s">
        <v>263</v>
      </c>
      <c r="D176" t="s">
        <v>1391</v>
      </c>
    </row>
    <row r="177" spans="1:4" x14ac:dyDescent="0.2">
      <c r="A177">
        <v>1</v>
      </c>
      <c r="B177" t="s">
        <v>20</v>
      </c>
      <c r="C177" t="s">
        <v>271</v>
      </c>
      <c r="D177" t="s">
        <v>1391</v>
      </c>
    </row>
    <row r="178" spans="1:4" x14ac:dyDescent="0.2">
      <c r="A178">
        <v>10</v>
      </c>
      <c r="B178" t="s">
        <v>20</v>
      </c>
      <c r="C178" t="s">
        <v>276</v>
      </c>
      <c r="D178" t="s">
        <v>1391</v>
      </c>
    </row>
    <row r="179" spans="1:4" x14ac:dyDescent="0.2">
      <c r="A179">
        <v>10</v>
      </c>
      <c r="B179" t="s">
        <v>20</v>
      </c>
      <c r="C179" t="s">
        <v>311</v>
      </c>
      <c r="D179" t="s">
        <v>1391</v>
      </c>
    </row>
    <row r="180" spans="1:4" x14ac:dyDescent="0.2">
      <c r="A180">
        <v>7</v>
      </c>
      <c r="B180" t="s">
        <v>20</v>
      </c>
      <c r="C180" t="s">
        <v>339</v>
      </c>
      <c r="D180" t="s">
        <v>1391</v>
      </c>
    </row>
    <row r="181" spans="1:4" x14ac:dyDescent="0.2">
      <c r="A181">
        <v>2</v>
      </c>
      <c r="B181" t="s">
        <v>20</v>
      </c>
      <c r="C181" t="s">
        <v>371</v>
      </c>
      <c r="D181" t="s">
        <v>1391</v>
      </c>
    </row>
    <row r="182" spans="1:4" x14ac:dyDescent="0.2">
      <c r="A182">
        <v>9</v>
      </c>
      <c r="B182" t="s">
        <v>20</v>
      </c>
      <c r="C182" t="s">
        <v>393</v>
      </c>
      <c r="D182" t="s">
        <v>1391</v>
      </c>
    </row>
    <row r="183" spans="1:4" x14ac:dyDescent="0.2">
      <c r="A183">
        <v>9</v>
      </c>
      <c r="B183" t="s">
        <v>20</v>
      </c>
      <c r="C183" t="s">
        <v>1158</v>
      </c>
      <c r="D183" t="s">
        <v>1391</v>
      </c>
    </row>
    <row r="184" spans="1:4" x14ac:dyDescent="0.2">
      <c r="A184">
        <v>20</v>
      </c>
      <c r="B184" t="s">
        <v>20</v>
      </c>
      <c r="C184" t="s">
        <v>414</v>
      </c>
      <c r="D184" t="s">
        <v>1391</v>
      </c>
    </row>
    <row r="185" spans="1:4" x14ac:dyDescent="0.2">
      <c r="A185">
        <v>5</v>
      </c>
      <c r="B185" t="s">
        <v>20</v>
      </c>
      <c r="C185" t="s">
        <v>430</v>
      </c>
      <c r="D185" t="s">
        <v>1391</v>
      </c>
    </row>
    <row r="186" spans="1:4" x14ac:dyDescent="0.2">
      <c r="A186">
        <v>1</v>
      </c>
      <c r="B186" t="s">
        <v>20</v>
      </c>
      <c r="C186" t="s">
        <v>439</v>
      </c>
      <c r="D186" t="s">
        <v>1391</v>
      </c>
    </row>
    <row r="187" spans="1:4" x14ac:dyDescent="0.2">
      <c r="A187">
        <v>5</v>
      </c>
      <c r="B187" t="s">
        <v>20</v>
      </c>
      <c r="C187" t="s">
        <v>448</v>
      </c>
      <c r="D187" t="s">
        <v>1391</v>
      </c>
    </row>
    <row r="188" spans="1:4" x14ac:dyDescent="0.2">
      <c r="A188">
        <v>10</v>
      </c>
      <c r="B188" t="s">
        <v>20</v>
      </c>
      <c r="C188" t="s">
        <v>468</v>
      </c>
      <c r="D188" t="s">
        <v>1391</v>
      </c>
    </row>
    <row r="189" spans="1:4" x14ac:dyDescent="0.2">
      <c r="A189">
        <v>5</v>
      </c>
      <c r="B189" t="s">
        <v>20</v>
      </c>
      <c r="C189" t="s">
        <v>534</v>
      </c>
      <c r="D189" t="s">
        <v>1391</v>
      </c>
    </row>
    <row r="190" spans="1:4" x14ac:dyDescent="0.2">
      <c r="A190">
        <v>50</v>
      </c>
      <c r="B190" t="s">
        <v>20</v>
      </c>
      <c r="C190" t="s">
        <v>579</v>
      </c>
      <c r="D190" t="s">
        <v>1391</v>
      </c>
    </row>
    <row r="191" spans="1:4" x14ac:dyDescent="0.2">
      <c r="A191">
        <v>20</v>
      </c>
      <c r="B191" t="s">
        <v>20</v>
      </c>
      <c r="C191" t="s">
        <v>581</v>
      </c>
      <c r="D191" t="s">
        <v>1391</v>
      </c>
    </row>
    <row r="192" spans="1:4" x14ac:dyDescent="0.2">
      <c r="A192">
        <v>1</v>
      </c>
      <c r="B192" t="s">
        <v>20</v>
      </c>
      <c r="C192" t="s">
        <v>612</v>
      </c>
      <c r="D192" t="s">
        <v>1391</v>
      </c>
    </row>
    <row r="193" spans="1:4" x14ac:dyDescent="0.2">
      <c r="A193">
        <v>2</v>
      </c>
      <c r="B193" t="s">
        <v>20</v>
      </c>
      <c r="C193" t="s">
        <v>654</v>
      </c>
      <c r="D193" t="s">
        <v>1391</v>
      </c>
    </row>
    <row r="194" spans="1:4" x14ac:dyDescent="0.2">
      <c r="A194">
        <v>7</v>
      </c>
      <c r="B194" t="s">
        <v>20</v>
      </c>
      <c r="C194" t="s">
        <v>676</v>
      </c>
      <c r="D194" t="s">
        <v>1391</v>
      </c>
    </row>
    <row r="195" spans="1:4" x14ac:dyDescent="0.2">
      <c r="A195">
        <v>25</v>
      </c>
      <c r="B195" t="s">
        <v>20</v>
      </c>
      <c r="C195" s="25" t="s">
        <v>745</v>
      </c>
      <c r="D195" t="s">
        <v>1391</v>
      </c>
    </row>
    <row r="196" spans="1:4" x14ac:dyDescent="0.2">
      <c r="A196">
        <v>25</v>
      </c>
      <c r="B196" t="s">
        <v>20</v>
      </c>
      <c r="C196" t="s">
        <v>779</v>
      </c>
      <c r="D196" t="s">
        <v>1391</v>
      </c>
    </row>
    <row r="197" spans="1:4" x14ac:dyDescent="0.2">
      <c r="A197">
        <v>20</v>
      </c>
      <c r="B197" t="s">
        <v>20</v>
      </c>
      <c r="C197" t="s">
        <v>809</v>
      </c>
      <c r="D197" t="s">
        <v>1391</v>
      </c>
    </row>
    <row r="198" spans="1:4" x14ac:dyDescent="0.2">
      <c r="A198">
        <v>1</v>
      </c>
      <c r="B198" t="s">
        <v>20</v>
      </c>
      <c r="C198" t="s">
        <v>834</v>
      </c>
      <c r="D198" t="s">
        <v>1391</v>
      </c>
    </row>
    <row r="199" spans="1:4" x14ac:dyDescent="0.2">
      <c r="A199">
        <v>5</v>
      </c>
      <c r="B199" t="s">
        <v>20</v>
      </c>
      <c r="C199" t="s">
        <v>860</v>
      </c>
      <c r="D199" t="s">
        <v>1391</v>
      </c>
    </row>
    <row r="200" spans="1:4" x14ac:dyDescent="0.2">
      <c r="A200">
        <v>7</v>
      </c>
      <c r="B200" t="s">
        <v>20</v>
      </c>
      <c r="C200" t="s">
        <v>889</v>
      </c>
      <c r="D200" t="s">
        <v>1391</v>
      </c>
    </row>
    <row r="201" spans="1:4" x14ac:dyDescent="0.2">
      <c r="A201">
        <v>12</v>
      </c>
      <c r="B201" t="s">
        <v>20</v>
      </c>
      <c r="C201" t="s">
        <v>922</v>
      </c>
      <c r="D201" t="s">
        <v>1391</v>
      </c>
    </row>
    <row r="202" spans="1:4" x14ac:dyDescent="0.2">
      <c r="A202">
        <v>10</v>
      </c>
      <c r="B202" t="s">
        <v>20</v>
      </c>
      <c r="C202" t="s">
        <v>933</v>
      </c>
      <c r="D202" t="s">
        <v>1391</v>
      </c>
    </row>
    <row r="203" spans="1:4" x14ac:dyDescent="0.2">
      <c r="A203">
        <v>25</v>
      </c>
      <c r="B203" t="s">
        <v>20</v>
      </c>
      <c r="C203" t="s">
        <v>945</v>
      </c>
      <c r="D203" t="s">
        <v>1391</v>
      </c>
    </row>
    <row r="204" spans="1:4" x14ac:dyDescent="0.2">
      <c r="A204">
        <v>22</v>
      </c>
      <c r="B204" t="s">
        <v>20</v>
      </c>
      <c r="C204" t="s">
        <v>988</v>
      </c>
      <c r="D204" t="s">
        <v>1391</v>
      </c>
    </row>
  </sheetData>
  <autoFilter ref="A1:D239" xr:uid="{7B500DC9-3980-43D0-95DF-819E76E1D67A}"/>
  <phoneticPr fontId="11" type="noConversion"/>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6509F-8E00-4BC7-B8C4-10229C85AFAC}">
  <sheetPr codeName="Sheet11">
    <pageSetUpPr fitToPage="1"/>
  </sheetPr>
  <dimension ref="A1:M300"/>
  <sheetViews>
    <sheetView workbookViewId="0">
      <selection activeCell="G5" sqref="A5:G66"/>
    </sheetView>
  </sheetViews>
  <sheetFormatPr defaultRowHeight="12.75" x14ac:dyDescent="0.2"/>
  <cols>
    <col min="1" max="1" width="23.5" bestFit="1" customWidth="1"/>
    <col min="2" max="2" width="7.83203125" bestFit="1" customWidth="1"/>
    <col min="3" max="3" width="5.5" bestFit="1" customWidth="1"/>
    <col min="4" max="4" width="5.5" hidden="1" customWidth="1"/>
    <col min="5" max="5" width="4.5" hidden="1" customWidth="1"/>
    <col min="6" max="6" width="7.33203125" hidden="1" customWidth="1"/>
  </cols>
  <sheetData>
    <row r="1" spans="1:7" x14ac:dyDescent="0.2">
      <c r="A1" s="24" t="s">
        <v>1248</v>
      </c>
      <c r="B1" t="s">
        <v>1377</v>
      </c>
    </row>
    <row r="3" spans="1:7" x14ac:dyDescent="0.2">
      <c r="A3" s="69" t="s">
        <v>1376</v>
      </c>
      <c r="B3" s="69" t="s">
        <v>1199</v>
      </c>
    </row>
    <row r="4" spans="1:7" x14ac:dyDescent="0.2">
      <c r="A4" s="69" t="s">
        <v>1198</v>
      </c>
      <c r="B4" s="70" t="s">
        <v>20</v>
      </c>
      <c r="G4" t="s">
        <v>1265</v>
      </c>
    </row>
    <row r="5" spans="1:7" x14ac:dyDescent="0.2">
      <c r="A5" t="s">
        <v>34</v>
      </c>
      <c r="B5">
        <v>35</v>
      </c>
      <c r="G5" s="55">
        <f>CEILING(B5/IF(A5 &lt;&gt; "",_xlfn.XLOOKUP(A5,'Master List'!$C$3:$C$2983,'Master List'!$E$3:$E$2983),1),0.25)+C5+D5+E5</f>
        <v>1</v>
      </c>
    </row>
    <row r="6" spans="1:7" x14ac:dyDescent="0.2">
      <c r="A6" t="s">
        <v>45</v>
      </c>
      <c r="B6">
        <v>415</v>
      </c>
      <c r="G6" s="55">
        <f>CEILING(B6/IF(A6 &lt;&gt; "",_xlfn.XLOOKUP(A6,'Master List'!$C$3:$C$2983,'Master List'!$E$3:$E$2983),1),0.25)+C6+D6+E6</f>
        <v>10.5</v>
      </c>
    </row>
    <row r="7" spans="1:7" x14ac:dyDescent="0.2">
      <c r="A7" t="s">
        <v>54</v>
      </c>
      <c r="B7">
        <v>35</v>
      </c>
      <c r="G7" s="55">
        <f>CEILING(B7/IF(A7 &lt;&gt; "",_xlfn.XLOOKUP(A7,'Master List'!$C$3:$C$2983,'Master List'!$E$3:$E$2983),1),0.25)+C7+D7+E7</f>
        <v>1</v>
      </c>
    </row>
    <row r="8" spans="1:7" x14ac:dyDescent="0.2">
      <c r="A8" t="s">
        <v>146</v>
      </c>
      <c r="B8">
        <v>340</v>
      </c>
      <c r="G8" s="55">
        <f>CEILING(B8/IF(A8 &lt;&gt; "",_xlfn.XLOOKUP(A8,'Master List'!$C$3:$C$2983,'Master List'!$E$3:$E$2983),1),0.25)+C8+D8+E8</f>
        <v>8.5</v>
      </c>
    </row>
    <row r="9" spans="1:7" x14ac:dyDescent="0.2">
      <c r="A9" t="s">
        <v>178</v>
      </c>
      <c r="B9">
        <v>79</v>
      </c>
      <c r="G9" s="55">
        <f>CEILING(B9/IF(A9 &lt;&gt; "",_xlfn.XLOOKUP(A9,'Master List'!$C$3:$C$2983,'Master List'!$E$3:$E$2983),1),0.25)+C9+D9+E9</f>
        <v>3.25</v>
      </c>
    </row>
    <row r="10" spans="1:7" x14ac:dyDescent="0.2">
      <c r="A10" t="s">
        <v>183</v>
      </c>
      <c r="B10">
        <v>5</v>
      </c>
      <c r="G10" s="55">
        <f>CEILING(B10/IF(A10 &lt;&gt; "",_xlfn.XLOOKUP(A10,'Master List'!$C$3:$C$2983,'Master List'!$E$3:$E$2983),1),0.25)+C10+D10+E10</f>
        <v>0.25</v>
      </c>
    </row>
    <row r="11" spans="1:7" x14ac:dyDescent="0.2">
      <c r="A11" t="s">
        <v>190</v>
      </c>
      <c r="B11">
        <v>27</v>
      </c>
      <c r="G11" s="55">
        <f>CEILING(B11/IF(A11 &lt;&gt; "",_xlfn.XLOOKUP(A11,'Master List'!$C$3:$C$2983,'Master List'!$E$3:$E$2983),1),0.25)+C11+D11+E11</f>
        <v>0.75</v>
      </c>
    </row>
    <row r="12" spans="1:7" x14ac:dyDescent="0.2">
      <c r="A12" t="s">
        <v>204</v>
      </c>
      <c r="B12">
        <v>65</v>
      </c>
      <c r="G12" s="55">
        <f>CEILING(B12/IF(A12 &lt;&gt; "",_xlfn.XLOOKUP(A12,'Master List'!$C$3:$C$2983,'Master List'!$E$3:$E$2983),1),0.25)+C12+D12+E12</f>
        <v>3</v>
      </c>
    </row>
    <row r="13" spans="1:7" x14ac:dyDescent="0.2">
      <c r="A13" t="s">
        <v>228</v>
      </c>
      <c r="B13">
        <v>77</v>
      </c>
      <c r="G13" s="55">
        <f>CEILING(B13/IF(A13 &lt;&gt; "",_xlfn.XLOOKUP(A13,'Master List'!$C$3:$C$2983,'Master List'!$E$3:$E$2983),1),0.25)+C13+D13+E13</f>
        <v>2</v>
      </c>
    </row>
    <row r="14" spans="1:7" x14ac:dyDescent="0.2">
      <c r="A14" t="s">
        <v>221</v>
      </c>
      <c r="B14">
        <v>25</v>
      </c>
      <c r="G14" s="55">
        <f>CEILING(B14/IF(A14 &lt;&gt; "",_xlfn.XLOOKUP(A14,'Master List'!$C$3:$C$2983,'Master List'!$E$3:$E$2983),1),0.25)+C14+D14+E14</f>
        <v>0.5</v>
      </c>
    </row>
    <row r="15" spans="1:7" x14ac:dyDescent="0.2">
      <c r="A15" t="s">
        <v>223</v>
      </c>
      <c r="B15">
        <v>275</v>
      </c>
      <c r="G15" s="55">
        <f>CEILING(B15/IF(A15 &lt;&gt; "",_xlfn.XLOOKUP(A15,'Master List'!$C$3:$C$2983,'Master List'!$E$3:$E$2983),1),0.25)+C15+D15+E15</f>
        <v>5.5</v>
      </c>
    </row>
    <row r="16" spans="1:7" x14ac:dyDescent="0.2">
      <c r="A16" t="s">
        <v>243</v>
      </c>
      <c r="B16">
        <v>435</v>
      </c>
      <c r="G16" s="55">
        <f>CEILING(B16/IF(A16 &lt;&gt; "",_xlfn.XLOOKUP(A16,'Master List'!$C$3:$C$2983,'Master List'!$E$3:$E$2983),1),0.25)+C16+D16+E16</f>
        <v>11</v>
      </c>
    </row>
    <row r="17" spans="1:7" x14ac:dyDescent="0.2">
      <c r="A17" t="s">
        <v>248</v>
      </c>
      <c r="B17">
        <v>265</v>
      </c>
      <c r="G17" s="55">
        <f>CEILING(B17/IF(A17 &lt;&gt; "",_xlfn.XLOOKUP(A17,'Master List'!$C$3:$C$2983,'Master List'!$E$3:$E$2983),1),0.25)+C17+D17+E17</f>
        <v>5.5</v>
      </c>
    </row>
    <row r="18" spans="1:7" x14ac:dyDescent="0.2">
      <c r="A18" t="s">
        <v>263</v>
      </c>
      <c r="B18">
        <v>85</v>
      </c>
      <c r="G18" s="55">
        <f>CEILING(B18/IF(A18 &lt;&gt; "",_xlfn.XLOOKUP(A18,'Master List'!$C$3:$C$2983,'Master List'!$E$3:$E$2983),1),0.25)+C18+D18+E18</f>
        <v>4.25</v>
      </c>
    </row>
    <row r="19" spans="1:7" x14ac:dyDescent="0.2">
      <c r="A19" t="s">
        <v>271</v>
      </c>
      <c r="B19">
        <v>36</v>
      </c>
      <c r="G19" s="55">
        <f>CEILING(B19/IF(A19 &lt;&gt; "",_xlfn.XLOOKUP(A19,'Master List'!$C$3:$C$2983,'Master List'!$E$3:$E$2983),1),0.25)+C19+D19+E19</f>
        <v>0.75</v>
      </c>
    </row>
    <row r="20" spans="1:7" x14ac:dyDescent="0.2">
      <c r="A20" t="s">
        <v>276</v>
      </c>
      <c r="B20">
        <v>20</v>
      </c>
      <c r="G20" s="55">
        <f>CEILING(B20/IF(A20 &lt;&gt; "",_xlfn.XLOOKUP(A20,'Master List'!$C$3:$C$2983,'Master List'!$E$3:$E$2983),1),0.25)+C20+D20+E20</f>
        <v>0.75</v>
      </c>
    </row>
    <row r="21" spans="1:7" x14ac:dyDescent="0.2">
      <c r="A21" t="s">
        <v>299</v>
      </c>
      <c r="B21">
        <v>10</v>
      </c>
      <c r="G21" s="55">
        <f>CEILING(B21/IF(A21 &lt;&gt; "",_xlfn.XLOOKUP(A21,'Master List'!$C$3:$C$2983,'Master List'!$E$3:$E$2983),1),0.25)+C21+D21+E21</f>
        <v>1</v>
      </c>
    </row>
    <row r="22" spans="1:7" x14ac:dyDescent="0.2">
      <c r="A22" t="s">
        <v>311</v>
      </c>
      <c r="B22">
        <v>220</v>
      </c>
      <c r="G22" s="55">
        <f>CEILING(B22/IF(A22 &lt;&gt; "",_xlfn.XLOOKUP(A22,'Master List'!$C$3:$C$2983,'Master List'!$E$3:$E$2983),1),0.25)+C22+D22+E22</f>
        <v>4.5</v>
      </c>
    </row>
    <row r="23" spans="1:7" x14ac:dyDescent="0.2">
      <c r="A23" t="s">
        <v>327</v>
      </c>
      <c r="B23">
        <v>42</v>
      </c>
      <c r="G23" s="55">
        <f>CEILING(B23/IF(A23 &lt;&gt; "",_xlfn.XLOOKUP(A23,'Master List'!$C$3:$C$2983,'Master List'!$E$3:$E$2983),1),0.25)+C23+D23+E23</f>
        <v>1.25</v>
      </c>
    </row>
    <row r="24" spans="1:7" x14ac:dyDescent="0.2">
      <c r="A24" t="s">
        <v>339</v>
      </c>
      <c r="B24">
        <v>81</v>
      </c>
      <c r="G24" s="55">
        <f>CEILING(B24/IF(A24 &lt;&gt; "",_xlfn.XLOOKUP(A24,'Master List'!$C$3:$C$2983,'Master List'!$E$3:$E$2983),1),0.25)+C24+D24+E24</f>
        <v>3.25</v>
      </c>
    </row>
    <row r="25" spans="1:7" x14ac:dyDescent="0.2">
      <c r="A25" t="s">
        <v>1229</v>
      </c>
      <c r="B25">
        <v>5</v>
      </c>
      <c r="G25" s="55">
        <f>CEILING(B25/IF(A25 &lt;&gt; "",_xlfn.XLOOKUP(A25,'Master List'!$C$3:$C$2983,'Master List'!$E$3:$E$2983),1),0.25)+C25+D25+E25</f>
        <v>0.5</v>
      </c>
    </row>
    <row r="26" spans="1:7" x14ac:dyDescent="0.2">
      <c r="A26" t="s">
        <v>371</v>
      </c>
      <c r="B26">
        <v>19</v>
      </c>
      <c r="G26" s="55">
        <f>CEILING(B26/IF(A26 &lt;&gt; "",_xlfn.XLOOKUP(A26,'Master List'!$C$3:$C$2983,'Master List'!$E$3:$E$2983),1),0.25)+C26+D26+E26</f>
        <v>1</v>
      </c>
    </row>
    <row r="27" spans="1:7" x14ac:dyDescent="0.2">
      <c r="A27" t="s">
        <v>393</v>
      </c>
      <c r="B27">
        <v>36</v>
      </c>
      <c r="G27" s="55">
        <f>CEILING(B27/IF(A27 &lt;&gt; "",_xlfn.XLOOKUP(A27,'Master List'!$C$3:$C$2983,'Master List'!$E$3:$E$2983),1),0.25)+C27+D27+E27</f>
        <v>2</v>
      </c>
    </row>
    <row r="28" spans="1:7" x14ac:dyDescent="0.2">
      <c r="A28" t="s">
        <v>1158</v>
      </c>
      <c r="B28">
        <v>18</v>
      </c>
      <c r="G28" s="55">
        <f>CEILING(B28/IF(A28 &lt;&gt; "",_xlfn.XLOOKUP(A28,'Master List'!$C$3:$C$2983,'Master List'!$E$3:$E$2983),1),0.25)+C28+D28+E28</f>
        <v>1</v>
      </c>
    </row>
    <row r="29" spans="1:7" x14ac:dyDescent="0.2">
      <c r="A29" t="s">
        <v>405</v>
      </c>
      <c r="B29">
        <v>16</v>
      </c>
      <c r="G29" s="55">
        <f>CEILING(B29/IF(A29 &lt;&gt; "",_xlfn.XLOOKUP(A29,'Master List'!$C$3:$C$2983,'Master List'!$E$3:$E$2983),1),0.25)+C29+D29+E29</f>
        <v>1</v>
      </c>
    </row>
    <row r="30" spans="1:7" x14ac:dyDescent="0.2">
      <c r="A30" t="s">
        <v>414</v>
      </c>
      <c r="B30">
        <v>72</v>
      </c>
      <c r="G30" s="55">
        <f>CEILING(B30/IF(A30 &lt;&gt; "",_xlfn.XLOOKUP(A30,'Master List'!$C$3:$C$2983,'Master List'!$E$3:$E$2983),1),0.25)+C30+D30+E30</f>
        <v>3</v>
      </c>
    </row>
    <row r="31" spans="1:7" x14ac:dyDescent="0.2">
      <c r="A31" t="s">
        <v>430</v>
      </c>
      <c r="B31">
        <v>25</v>
      </c>
      <c r="G31" s="55">
        <f>CEILING(B31/IF(A31 &lt;&gt; "",_xlfn.XLOOKUP(A31,'Master List'!$C$3:$C$2983,'Master List'!$E$3:$E$2983),1),0.25)+C31+D31+E31</f>
        <v>1.25</v>
      </c>
    </row>
    <row r="32" spans="1:7" x14ac:dyDescent="0.2">
      <c r="A32" t="s">
        <v>439</v>
      </c>
      <c r="B32">
        <v>26</v>
      </c>
      <c r="G32" s="55">
        <f>CEILING(B32/IF(A32 &lt;&gt; "",_xlfn.XLOOKUP(A32,'Master List'!$C$3:$C$2983,'Master List'!$E$3:$E$2983),1),0.25)+C32+D32+E32</f>
        <v>1.5</v>
      </c>
    </row>
    <row r="33" spans="1:13" x14ac:dyDescent="0.2">
      <c r="A33" t="s">
        <v>443</v>
      </c>
      <c r="B33">
        <v>2</v>
      </c>
      <c r="G33" s="55">
        <f>CEILING(B33/IF(A33 &lt;&gt; "",_xlfn.XLOOKUP(A33,'Master List'!$C$3:$C$2983,'Master List'!$E$3:$E$2983),1),0.25)+C33+D33+E33</f>
        <v>0.25</v>
      </c>
    </row>
    <row r="34" spans="1:13" x14ac:dyDescent="0.2">
      <c r="A34" t="s">
        <v>448</v>
      </c>
      <c r="B34">
        <v>135</v>
      </c>
      <c r="G34" s="55">
        <f>CEILING(B34/IF(A34 &lt;&gt; "",_xlfn.XLOOKUP(A34,'Master List'!$C$3:$C$2983,'Master List'!$E$3:$E$2983),1),0.25)+C34+D34+E34</f>
        <v>3.5</v>
      </c>
      <c r="M34" s="25" t="s">
        <v>1209</v>
      </c>
    </row>
    <row r="35" spans="1:13" x14ac:dyDescent="0.2">
      <c r="A35" t="s">
        <v>468</v>
      </c>
      <c r="B35">
        <v>205</v>
      </c>
      <c r="G35" s="55">
        <f>CEILING(B35/IF(A35 &lt;&gt; "",_xlfn.XLOOKUP(A35,'Master List'!$C$3:$C$2983,'Master List'!$E$3:$E$2983),1),0.25)+C35+D35+E35</f>
        <v>5.25</v>
      </c>
    </row>
    <row r="36" spans="1:13" x14ac:dyDescent="0.2">
      <c r="A36" t="s">
        <v>495</v>
      </c>
      <c r="B36">
        <v>45</v>
      </c>
      <c r="G36" s="55">
        <f>CEILING(B36/IF(A36 &lt;&gt; "",_xlfn.XLOOKUP(A36,'Master List'!$C$3:$C$2983,'Master List'!$E$3:$E$2983),1),0.25)+C36+D36+E36</f>
        <v>1.25</v>
      </c>
    </row>
    <row r="37" spans="1:13" x14ac:dyDescent="0.2">
      <c r="A37" t="s">
        <v>1129</v>
      </c>
      <c r="B37">
        <v>16</v>
      </c>
      <c r="G37" s="55">
        <f>CEILING(B37/IF(A37 &lt;&gt; "",_xlfn.XLOOKUP(A37,'Master List'!$C$3:$C$2983,'Master List'!$E$3:$E$2983),1),0.25)+C37+D37+E37</f>
        <v>2</v>
      </c>
    </row>
    <row r="38" spans="1:13" x14ac:dyDescent="0.2">
      <c r="A38" t="s">
        <v>528</v>
      </c>
      <c r="B38">
        <v>2</v>
      </c>
      <c r="G38" s="55">
        <f>CEILING(B38/IF(A38 &lt;&gt; "",_xlfn.XLOOKUP(A38,'Master List'!$C$3:$C$2983,'Master List'!$E$3:$E$2983),1),0.25)+C38+D38+E38</f>
        <v>1</v>
      </c>
    </row>
    <row r="39" spans="1:13" x14ac:dyDescent="0.2">
      <c r="A39" t="s">
        <v>534</v>
      </c>
      <c r="B39">
        <v>15</v>
      </c>
      <c r="G39" s="55">
        <f>CEILING(B39/IF(A39 &lt;&gt; "",_xlfn.XLOOKUP(A39,'Master List'!$C$3:$C$2983,'Master List'!$E$3:$E$2983),1),0.25)+C39+D39+E39</f>
        <v>1.5</v>
      </c>
    </row>
    <row r="40" spans="1:13" x14ac:dyDescent="0.2">
      <c r="A40" t="s">
        <v>543</v>
      </c>
      <c r="B40">
        <v>7</v>
      </c>
      <c r="G40" s="55">
        <f>CEILING(B40/IF(A40 &lt;&gt; "",_xlfn.XLOOKUP(A40,'Master List'!$C$3:$C$2983,'Master List'!$E$3:$E$2983),1),0.25)+C40+D40+E40</f>
        <v>0.5</v>
      </c>
    </row>
    <row r="41" spans="1:13" x14ac:dyDescent="0.2">
      <c r="A41" t="s">
        <v>555</v>
      </c>
      <c r="B41">
        <v>175</v>
      </c>
      <c r="G41" s="55">
        <f>CEILING(B41/IF(A41 &lt;&gt; "",_xlfn.XLOOKUP(A41,'Master List'!$C$3:$C$2983,'Master List'!$E$3:$E$2983),1),0.25)+C41+D41+E41</f>
        <v>7</v>
      </c>
    </row>
    <row r="42" spans="1:13" x14ac:dyDescent="0.2">
      <c r="A42" t="s">
        <v>579</v>
      </c>
      <c r="B42">
        <v>750</v>
      </c>
      <c r="G42" s="55">
        <f>CEILING(B42/IF(A42 &lt;&gt; "",_xlfn.XLOOKUP(A42,'Master List'!$C$3:$C$2983,'Master List'!$E$3:$E$2983),1),0.25)+C42+D42+E42</f>
        <v>15</v>
      </c>
    </row>
    <row r="43" spans="1:13" x14ac:dyDescent="0.2">
      <c r="A43" t="s">
        <v>581</v>
      </c>
      <c r="B43">
        <v>315</v>
      </c>
      <c r="G43" s="55">
        <f>CEILING(B43/IF(A43 &lt;&gt; "",_xlfn.XLOOKUP(A43,'Master List'!$C$3:$C$2983,'Master List'!$E$3:$E$2983),1),0.25)+C43+D43+E43</f>
        <v>8</v>
      </c>
    </row>
    <row r="44" spans="1:13" x14ac:dyDescent="0.2">
      <c r="A44" t="s">
        <v>612</v>
      </c>
      <c r="B44">
        <v>5</v>
      </c>
      <c r="G44" s="55">
        <f>CEILING(B44/IF(A44 &lt;&gt; "",_xlfn.XLOOKUP(A44,'Master List'!$C$3:$C$2983,'Master List'!$E$3:$E$2983),1),0.25)+C44+D44+E44</f>
        <v>0.5</v>
      </c>
    </row>
    <row r="45" spans="1:13" x14ac:dyDescent="0.2">
      <c r="A45" t="s">
        <v>631</v>
      </c>
      <c r="B45">
        <v>190</v>
      </c>
      <c r="G45" s="55">
        <f>CEILING(B45/IF(A45 &lt;&gt; "",_xlfn.XLOOKUP(A45,'Master List'!$C$3:$C$2983,'Master List'!$E$3:$E$2983),1),0.25)+C45+D45+E45</f>
        <v>4.75</v>
      </c>
    </row>
    <row r="46" spans="1:13" x14ac:dyDescent="0.2">
      <c r="A46" t="s">
        <v>642</v>
      </c>
      <c r="B46">
        <v>25</v>
      </c>
      <c r="G46" s="55">
        <f>CEILING(B46/IF(A46 &lt;&gt; "",_xlfn.XLOOKUP(A46,'Master List'!$C$3:$C$2983,'Master List'!$E$3:$E$2983),1),0.25)+C46+D46+E46</f>
        <v>2.5</v>
      </c>
    </row>
    <row r="47" spans="1:13" x14ac:dyDescent="0.2">
      <c r="A47" t="s">
        <v>654</v>
      </c>
      <c r="B47">
        <v>12</v>
      </c>
      <c r="G47" s="55">
        <f>CEILING(B47/IF(A47 &lt;&gt; "",_xlfn.XLOOKUP(A47,'Master List'!$C$3:$C$2983,'Master List'!$E$3:$E$2983),1),0.25)+C47+D47+E47</f>
        <v>0.5</v>
      </c>
    </row>
    <row r="48" spans="1:13" x14ac:dyDescent="0.2">
      <c r="A48" t="s">
        <v>656</v>
      </c>
      <c r="B48">
        <v>5</v>
      </c>
      <c r="G48" s="55">
        <f>CEILING(B48/IF(A48 &lt;&gt; "",_xlfn.XLOOKUP(A48,'Master List'!$C$3:$C$2983,'Master List'!$E$3:$E$2983),1),0.25)+C48+D48+E48</f>
        <v>0.25</v>
      </c>
    </row>
    <row r="49" spans="1:7" x14ac:dyDescent="0.2">
      <c r="A49" t="s">
        <v>676</v>
      </c>
      <c r="B49">
        <v>129</v>
      </c>
      <c r="G49" s="55">
        <f>CEILING(B49/IF(A49 &lt;&gt; "",_xlfn.XLOOKUP(A49,'Master List'!$C$3:$C$2983,'Master List'!$E$3:$E$2983),1),0.25)+C49+D49+E49</f>
        <v>5.25</v>
      </c>
    </row>
    <row r="50" spans="1:7" x14ac:dyDescent="0.2">
      <c r="A50" t="s">
        <v>745</v>
      </c>
      <c r="B50">
        <v>162</v>
      </c>
      <c r="G50" s="55">
        <f>CEILING(B50/IF(A50 &lt;&gt; "",_xlfn.XLOOKUP(A50,'Master List'!$C$3:$C$2983,'Master List'!$E$3:$E$2983),1),0.25)+C50+D50+E50</f>
        <v>6.5</v>
      </c>
    </row>
    <row r="51" spans="1:7" x14ac:dyDescent="0.2">
      <c r="A51" t="s">
        <v>768</v>
      </c>
      <c r="B51">
        <v>100</v>
      </c>
      <c r="G51" s="55">
        <f>CEILING(B51/IF(A51 &lt;&gt; "",_xlfn.XLOOKUP(A51,'Master List'!$C$3:$C$2983,'Master List'!$E$3:$E$2983),1),0.25)+C51+D51+E51</f>
        <v>2</v>
      </c>
    </row>
    <row r="52" spans="1:7" x14ac:dyDescent="0.2">
      <c r="A52" t="s">
        <v>770</v>
      </c>
      <c r="B52">
        <v>50</v>
      </c>
      <c r="G52" s="55">
        <f>CEILING(B52/IF(A52 &lt;&gt; "",_xlfn.XLOOKUP(A52,'Master List'!$C$3:$C$2983,'Master List'!$E$3:$E$2983),1),0.25)+C52+D52+E52</f>
        <v>1</v>
      </c>
    </row>
    <row r="53" spans="1:7" x14ac:dyDescent="0.2">
      <c r="A53" t="s">
        <v>777</v>
      </c>
      <c r="B53">
        <v>20</v>
      </c>
      <c r="G53" s="55">
        <f>CEILING(B53/IF(A53 &lt;&gt; "",_xlfn.XLOOKUP(A53,'Master List'!$C$3:$C$2983,'Master List'!$E$3:$E$2983),1),0.25)+C53+D53+E53</f>
        <v>0.5</v>
      </c>
    </row>
    <row r="54" spans="1:7" x14ac:dyDescent="0.2">
      <c r="A54" t="s">
        <v>779</v>
      </c>
      <c r="B54">
        <v>1576</v>
      </c>
      <c r="G54" s="55">
        <f>CEILING(B54/IF(A54 &lt;&gt; "",_xlfn.XLOOKUP(A54,'Master List'!$C$3:$C$2983,'Master List'!$E$3:$E$2983),1),0.25)+C54+D54+E54</f>
        <v>31.75</v>
      </c>
    </row>
    <row r="55" spans="1:7" x14ac:dyDescent="0.2">
      <c r="A55" t="s">
        <v>809</v>
      </c>
      <c r="B55">
        <v>50</v>
      </c>
      <c r="G55" s="55">
        <f>CEILING(B55/IF(A55 &lt;&gt; "",_xlfn.XLOOKUP(A55,'Master List'!$C$3:$C$2983,'Master List'!$E$3:$E$2983),1),0.25)+C55+D55+E55</f>
        <v>1.25</v>
      </c>
    </row>
    <row r="56" spans="1:7" x14ac:dyDescent="0.2">
      <c r="A56" t="s">
        <v>1337</v>
      </c>
      <c r="B56">
        <v>15</v>
      </c>
      <c r="G56" s="55">
        <f>CEILING(B56/IF(A56 &lt;&gt; "",_xlfn.XLOOKUP(A56,'Master List'!$C$3:$C$2983,'Master List'!$E$3:$E$2983),1),0.25)+C56+D56+E56</f>
        <v>0.5</v>
      </c>
    </row>
    <row r="57" spans="1:7" x14ac:dyDescent="0.2">
      <c r="A57" t="s">
        <v>819</v>
      </c>
      <c r="B57">
        <v>5</v>
      </c>
      <c r="G57" s="55">
        <f>CEILING(B57/IF(A57 &lt;&gt; "",_xlfn.XLOOKUP(A57,'Master List'!$C$3:$C$2983,'Master List'!$E$3:$E$2983),1),0.25)+C57+D57+E57</f>
        <v>0.5</v>
      </c>
    </row>
    <row r="58" spans="1:7" x14ac:dyDescent="0.2">
      <c r="A58" t="s">
        <v>834</v>
      </c>
      <c r="B58">
        <v>1</v>
      </c>
      <c r="G58" s="55">
        <f>CEILING(B58/IF(A58 &lt;&gt; "",_xlfn.XLOOKUP(A58,'Master List'!$C$3:$C$2983,'Master List'!$E$3:$E$2983),1),0.25)+C58+D58+E58</f>
        <v>0.25</v>
      </c>
    </row>
    <row r="59" spans="1:7" x14ac:dyDescent="0.2">
      <c r="A59" t="s">
        <v>860</v>
      </c>
      <c r="B59">
        <v>15</v>
      </c>
      <c r="G59" s="55">
        <f>CEILING(B59/IF(A59 &lt;&gt; "",_xlfn.XLOOKUP(A59,'Master List'!$C$3:$C$2983,'Master List'!$E$3:$E$2983),1),0.25)+C59+D59+E59</f>
        <v>1.5</v>
      </c>
    </row>
    <row r="60" spans="1:7" x14ac:dyDescent="0.2">
      <c r="A60" t="s">
        <v>889</v>
      </c>
      <c r="B60">
        <v>47</v>
      </c>
      <c r="G60" s="55">
        <f>CEILING(B60/IF(A60 &lt;&gt; "",_xlfn.XLOOKUP(A60,'Master List'!$C$3:$C$2983,'Master List'!$E$3:$E$2983),1),0.25)+C60+D60+E60</f>
        <v>1.25</v>
      </c>
    </row>
    <row r="61" spans="1:7" x14ac:dyDescent="0.2">
      <c r="A61" t="s">
        <v>922</v>
      </c>
      <c r="B61">
        <v>34</v>
      </c>
      <c r="G61" s="55">
        <f>CEILING(B61/IF(A61 &lt;&gt; "",_xlfn.XLOOKUP(A61,'Master List'!$C$3:$C$2983,'Master List'!$E$3:$E$2983),1),0.25)+C61+D61+E61</f>
        <v>1.5</v>
      </c>
    </row>
    <row r="62" spans="1:7" x14ac:dyDescent="0.2">
      <c r="A62" t="s">
        <v>930</v>
      </c>
      <c r="B62">
        <v>120</v>
      </c>
      <c r="G62" s="55">
        <f>CEILING(B62/IF(A62 &lt;&gt; "",_xlfn.XLOOKUP(A62,'Master List'!$C$3:$C$2983,'Master List'!$E$3:$E$2983),1),0.25)+C62+D62+E62</f>
        <v>4</v>
      </c>
    </row>
    <row r="63" spans="1:7" x14ac:dyDescent="0.2">
      <c r="A63" t="s">
        <v>933</v>
      </c>
      <c r="B63">
        <v>10</v>
      </c>
      <c r="G63" s="55">
        <f>CEILING(B63/IF(A63 &lt;&gt; "",_xlfn.XLOOKUP(A63,'Master List'!$C$3:$C$2983,'Master List'!$E$3:$E$2983),1),0.25)+C63+D63+E63</f>
        <v>0.5</v>
      </c>
    </row>
    <row r="64" spans="1:7" x14ac:dyDescent="0.2">
      <c r="A64" t="s">
        <v>945</v>
      </c>
      <c r="B64">
        <v>360</v>
      </c>
      <c r="G64" s="55">
        <f>CEILING(B64/IF(A64 &lt;&gt; "",_xlfn.XLOOKUP(A64,'Master List'!$C$3:$C$2983,'Master List'!$E$3:$E$2983),1),0.25)+C64+D64+E64</f>
        <v>14.5</v>
      </c>
    </row>
    <row r="65" spans="1:7" x14ac:dyDescent="0.2">
      <c r="A65" t="s">
        <v>988</v>
      </c>
      <c r="B65">
        <v>242</v>
      </c>
      <c r="G65" s="55">
        <f>CEILING(B65/IF(A65 &lt;&gt; "",_xlfn.XLOOKUP(A65,'Master List'!$C$3:$C$2983,'Master List'!$E$3:$E$2983),1),0.25)+C65+D65+E65</f>
        <v>5.5</v>
      </c>
    </row>
    <row r="66" spans="1:7" x14ac:dyDescent="0.2">
      <c r="A66" t="s">
        <v>1003</v>
      </c>
      <c r="B66">
        <v>55</v>
      </c>
      <c r="G66" s="55">
        <f>CEILING(B66/IF(A66 &lt;&gt; "",_xlfn.XLOOKUP(A66,'Master List'!$C$3:$C$2983,'Master List'!$E$3:$E$2983),1),0.25)+C66+D66+E66</f>
        <v>3.25</v>
      </c>
    </row>
    <row r="67" spans="1:7" x14ac:dyDescent="0.2">
      <c r="A67" t="s">
        <v>1220</v>
      </c>
      <c r="B67">
        <v>7684</v>
      </c>
      <c r="G67" s="55" t="e">
        <f>CEILING(B67/IF(A67 &lt;&gt; "",_xlfn.XLOOKUP(A67,'Master List'!$C$3:$C$2983,'Master List'!$E$3:$E$2983),1),0.25)+C67+D67+E67</f>
        <v>#N/A</v>
      </c>
    </row>
    <row r="68" spans="1:7" x14ac:dyDescent="0.2">
      <c r="G68" s="55">
        <f>CEILING(B68/IF(A68 &lt;&gt; "",_xlfn.XLOOKUP(A68,'Master List'!$C$3:$C$2983,'Master List'!$E$3:$E$2983),1),0.25)+C68+D68+E68</f>
        <v>0</v>
      </c>
    </row>
    <row r="69" spans="1:7" x14ac:dyDescent="0.2">
      <c r="G69" s="55">
        <f>CEILING(B69/IF(A69 &lt;&gt; "",_xlfn.XLOOKUP(A69,'Master List'!$C$3:$C$2983,'Master List'!$E$3:$E$2983),1),0.25)+C69+D69+E69</f>
        <v>0</v>
      </c>
    </row>
    <row r="70" spans="1:7" x14ac:dyDescent="0.2">
      <c r="G70" s="55">
        <f>CEILING(B70/IF(A70 &lt;&gt; "",_xlfn.XLOOKUP(A70,'Master List'!$C$3:$C$2983,'Master List'!$E$3:$E$2983),1),0.25)+C70+D70+E70</f>
        <v>0</v>
      </c>
    </row>
    <row r="71" spans="1:7" x14ac:dyDescent="0.2">
      <c r="G71" s="55">
        <f>CEILING(B71/IF(A71 &lt;&gt; "",_xlfn.XLOOKUP(A71,'Master List'!$C$3:$C$2983,'Master List'!$E$3:$E$2983),1),0.25)+C71+D71+E71</f>
        <v>0</v>
      </c>
    </row>
    <row r="72" spans="1:7" x14ac:dyDescent="0.2">
      <c r="G72" s="55">
        <f>CEILING(B72/IF(A72 &lt;&gt; "",_xlfn.XLOOKUP(A72,'Master List'!$C$3:$C$2983,'Master List'!$E$3:$E$2983),1),0.25)+C72+D72+E72</f>
        <v>0</v>
      </c>
    </row>
    <row r="73" spans="1:7" x14ac:dyDescent="0.2">
      <c r="G73" s="55">
        <f>CEILING(B73/IF(A73 &lt;&gt; "",_xlfn.XLOOKUP(A73,'Master List'!$C$3:$C$2983,'Master List'!$E$3:$E$2983),1),0.25)+C73+D73+E73</f>
        <v>0</v>
      </c>
    </row>
    <row r="74" spans="1:7" x14ac:dyDescent="0.2">
      <c r="G74" s="55">
        <f>CEILING(B74/IF(A74 &lt;&gt; "",_xlfn.XLOOKUP(A74,'Master List'!$C$3:$C$2983,'Master List'!$E$3:$E$2983),1),0.25)+C74+D74+E74</f>
        <v>0</v>
      </c>
    </row>
    <row r="75" spans="1:7" x14ac:dyDescent="0.2">
      <c r="G75" s="55">
        <f>CEILING(B75/IF(A75 &lt;&gt; "",_xlfn.XLOOKUP(A75,'Master List'!$C$3:$C$2983,'Master List'!$E$3:$E$2983),1),0.25)+C75+D75+E75</f>
        <v>0</v>
      </c>
    </row>
    <row r="76" spans="1:7" x14ac:dyDescent="0.2">
      <c r="G76" s="55">
        <f>CEILING(B76/IF(A76 &lt;&gt; "",_xlfn.XLOOKUP(A76,'Master List'!$C$3:$C$2983,'Master List'!$E$3:$E$2983),1),0.25)+C76+D76+E76</f>
        <v>0</v>
      </c>
    </row>
    <row r="77" spans="1:7" x14ac:dyDescent="0.2">
      <c r="G77" s="55">
        <f>CEILING(B77/IF(A77 &lt;&gt; "",_xlfn.XLOOKUP(A77,'Master List'!$C$3:$C$2983,'Master List'!$E$3:$E$2983),1),0.25)+C77+D77+E77</f>
        <v>0</v>
      </c>
    </row>
    <row r="78" spans="1:7" x14ac:dyDescent="0.2">
      <c r="G78" s="55">
        <f>CEILING(B78/IF(A78 &lt;&gt; "",_xlfn.XLOOKUP(A78,'Master List'!$C$3:$C$2983,'Master List'!$E$3:$E$2983),1),0.25)+C78+D78+E78</f>
        <v>0</v>
      </c>
    </row>
    <row r="79" spans="1:7" x14ac:dyDescent="0.2">
      <c r="G79" s="55">
        <f>CEILING(B79/IF(A79 &lt;&gt; "",_xlfn.XLOOKUP(A79,'Master List'!$C$3:$C$2983,'Master List'!$E$3:$E$2983),1),0.25)+C79+D79+E79</f>
        <v>0</v>
      </c>
    </row>
    <row r="80" spans="1:7" x14ac:dyDescent="0.2">
      <c r="G80" s="55">
        <f>CEILING(B80/IF(A80 &lt;&gt; "",_xlfn.XLOOKUP(A80,'Master List'!$C$3:$C$2983,'Master List'!$E$3:$E$2983),1),0.25)+C80+D80+E80</f>
        <v>0</v>
      </c>
    </row>
    <row r="81" spans="5:7" x14ac:dyDescent="0.2">
      <c r="G81" s="55">
        <f>CEILING(B81/IF(A81 &lt;&gt; "",_xlfn.XLOOKUP(A81,'Master List'!$C$3:$C$2983,'Master List'!$E$3:$E$2983),1),0.25)+C81+D81+E81</f>
        <v>0</v>
      </c>
    </row>
    <row r="82" spans="5:7" x14ac:dyDescent="0.2">
      <c r="G82" s="55">
        <f>CEILING(B82/IF(A82 &lt;&gt; "",_xlfn.XLOOKUP(A82,'Master List'!$C$3:$C$2983,'Master List'!$E$3:$E$2983),1),0.25)+C82+D82+E82</f>
        <v>0</v>
      </c>
    </row>
    <row r="83" spans="5:7" x14ac:dyDescent="0.2">
      <c r="G83" s="55">
        <f>CEILING(B83/IF(A83 &lt;&gt; "",_xlfn.XLOOKUP(A83,'Master List'!$C$3:$C$2983,'Master List'!$E$3:$E$2983),1),0.25)+C83+D83+E83</f>
        <v>0</v>
      </c>
    </row>
    <row r="84" spans="5:7" x14ac:dyDescent="0.2">
      <c r="G84" s="55">
        <f>CEILING(B84/IF(A84 &lt;&gt; "",_xlfn.XLOOKUP(A84,'Master List'!$C$3:$C$2983,'Master List'!$E$3:$E$2983),1),0.25)+C84+D84+E84</f>
        <v>0</v>
      </c>
    </row>
    <row r="85" spans="5:7" x14ac:dyDescent="0.2">
      <c r="G85" s="55">
        <f>CEILING(B85/IF(A85 &lt;&gt; "",_xlfn.XLOOKUP(A85,'Master List'!$C$3:$C$2983,'Master List'!$E$3:$E$2983),1),0.25)+C85+D85+E85</f>
        <v>0</v>
      </c>
    </row>
    <row r="86" spans="5:7" x14ac:dyDescent="0.2">
      <c r="E86" s="55"/>
      <c r="F86" s="55"/>
      <c r="G86" s="55">
        <f>CEILING(B86/IF(A86 &lt;&gt; "",_xlfn.XLOOKUP(A86,'Master List'!$C$3:$C$2983,'Master List'!$E$3:$E$2983),1),0.25)+C86+D86+E86</f>
        <v>0</v>
      </c>
    </row>
    <row r="87" spans="5:7" x14ac:dyDescent="0.2">
      <c r="E87" s="55"/>
      <c r="F87" s="55"/>
      <c r="G87" s="55">
        <f>CEILING(B87/IF(A87 &lt;&gt; "",_xlfn.XLOOKUP(A87,'Master List'!$C$3:$C$2983,'Master List'!$E$3:$E$2983),1),0.25)+C87+D87+E87</f>
        <v>0</v>
      </c>
    </row>
    <row r="88" spans="5:7" x14ac:dyDescent="0.2">
      <c r="E88" s="55"/>
      <c r="F88" s="55"/>
      <c r="G88" s="55">
        <f>CEILING(B88/IF(A88 &lt;&gt; "",_xlfn.XLOOKUP(A88,'Master List'!$C$3:$C$2983,'Master List'!$E$3:$E$2983),1),0.25)+C88+D88+E88</f>
        <v>0</v>
      </c>
    </row>
    <row r="89" spans="5:7" x14ac:dyDescent="0.2">
      <c r="E89" s="55"/>
      <c r="F89" s="55"/>
      <c r="G89" s="55">
        <f>CEILING(B89/IF(A89 &lt;&gt; "",_xlfn.XLOOKUP(A89,'Master List'!$C$3:$C$2983,'Master List'!$E$3:$E$2983),1),0.25)+C89+D89+E89</f>
        <v>0</v>
      </c>
    </row>
    <row r="90" spans="5:7" x14ac:dyDescent="0.2">
      <c r="E90" s="55"/>
      <c r="F90" s="55"/>
      <c r="G90" s="55">
        <f>CEILING(B90/IF(A90 &lt;&gt; "",_xlfn.XLOOKUP(A90,'Master List'!$C$3:$C$2983,'Master List'!$E$3:$E$2983),1),0.25)+C90+D90+E90</f>
        <v>0</v>
      </c>
    </row>
    <row r="91" spans="5:7" x14ac:dyDescent="0.2">
      <c r="E91" s="55"/>
      <c r="F91" s="55"/>
      <c r="G91" s="55">
        <f>CEILING(B91/IF(A91 &lt;&gt; "",_xlfn.XLOOKUP(A91,'Master List'!$C$3:$C$2983,'Master List'!$E$3:$E$2983),1),0.25)+C91+D91+E91</f>
        <v>0</v>
      </c>
    </row>
    <row r="92" spans="5:7" x14ac:dyDescent="0.2">
      <c r="E92" s="55"/>
      <c r="F92" s="55"/>
      <c r="G92" s="55">
        <f>CEILING(B92/IF(A92 &lt;&gt; "",_xlfn.XLOOKUP(A92,'Master List'!$C$3:$C$2983,'Master List'!$E$3:$E$2983),1),0.25)+C92+D92+E92</f>
        <v>0</v>
      </c>
    </row>
    <row r="93" spans="5:7" x14ac:dyDescent="0.2">
      <c r="E93" s="55"/>
      <c r="F93" s="55"/>
      <c r="G93" s="55">
        <f>CEILING(B93/IF(A93 &lt;&gt; "",_xlfn.XLOOKUP(A93,'Master List'!$C$3:$C$2983,'Master List'!$E$3:$E$2983),1),0.25)+C93+D93+E93</f>
        <v>0</v>
      </c>
    </row>
    <row r="94" spans="5:7" x14ac:dyDescent="0.2">
      <c r="E94" s="55"/>
      <c r="F94" s="55"/>
      <c r="G94" s="55">
        <f>CEILING(B94/IF(A94 &lt;&gt; "",_xlfn.XLOOKUP(A94,'Master List'!$C$3:$C$2983,'Master List'!$E$3:$E$2983),1),0.25)+C94+D94+E94</f>
        <v>0</v>
      </c>
    </row>
    <row r="95" spans="5:7" x14ac:dyDescent="0.2">
      <c r="E95" s="55"/>
      <c r="F95" s="55"/>
      <c r="G95" s="55">
        <f>CEILING(B95/IF(A95 &lt;&gt; "",_xlfn.XLOOKUP(A95,'Master List'!$C$3:$C$2983,'Master List'!$E$3:$E$2983),1),0.25)+C95+D95+E95</f>
        <v>0</v>
      </c>
    </row>
    <row r="96" spans="5:7" x14ac:dyDescent="0.2">
      <c r="E96" s="55"/>
      <c r="F96" s="55"/>
      <c r="G96" s="55">
        <f>CEILING(B96/IF(A96 &lt;&gt; "",_xlfn.XLOOKUP(A96,'Master List'!$C$3:$C$2983,'Master List'!$E$3:$E$2983),1),0.25)+C96+D96+E96</f>
        <v>0</v>
      </c>
    </row>
    <row r="97" spans="5:7" x14ac:dyDescent="0.2">
      <c r="E97" s="55"/>
      <c r="F97" s="55"/>
      <c r="G97" s="55">
        <f>CEILING(B97/IF(A97 &lt;&gt; "",_xlfn.XLOOKUP(A97,'Master List'!$C$3:$C$2983,'Master List'!$E$3:$E$2983),1),0.25)+C97+D97+E97</f>
        <v>0</v>
      </c>
    </row>
    <row r="98" spans="5:7" x14ac:dyDescent="0.2">
      <c r="E98" s="55"/>
      <c r="F98" s="55"/>
      <c r="G98" s="55">
        <f>CEILING(B98/IF(A98 &lt;&gt; "",_xlfn.XLOOKUP(A98,'Master List'!$C$3:$C$2983,'Master List'!$E$3:$E$2983),1),0.25)+C98+D98+E98</f>
        <v>0</v>
      </c>
    </row>
    <row r="99" spans="5:7" x14ac:dyDescent="0.2">
      <c r="E99" s="55"/>
      <c r="F99" s="55"/>
      <c r="G99" s="55">
        <f>CEILING(B99/IF(A99 &lt;&gt; "",_xlfn.XLOOKUP(A99,'Master List'!$C$3:$C$2983,'Master List'!$E$3:$E$2983),1),0.25)+C99+D99+E99</f>
        <v>0</v>
      </c>
    </row>
    <row r="100" spans="5:7" x14ac:dyDescent="0.2">
      <c r="E100" s="55"/>
      <c r="F100" s="55"/>
      <c r="G100" s="55">
        <f>CEILING(B100/IF(A100 &lt;&gt; "",_xlfn.XLOOKUP(A100,'Master List'!$C$3:$C$2983,'Master List'!$E$3:$E$2983),1),0.25)+C100+D100+E100</f>
        <v>0</v>
      </c>
    </row>
    <row r="101" spans="5:7" x14ac:dyDescent="0.2">
      <c r="E101" s="55"/>
      <c r="F101" s="55"/>
      <c r="G101" s="55">
        <f>CEILING(B101/IF(A101 &lt;&gt; "",_xlfn.XLOOKUP(A101,'Master List'!$C$3:$C$2983,'Master List'!$E$3:$E$2983),1),0.25)+C101+D101+E101</f>
        <v>0</v>
      </c>
    </row>
    <row r="102" spans="5:7" x14ac:dyDescent="0.2">
      <c r="E102" s="55"/>
      <c r="F102" s="55"/>
      <c r="G102" s="55">
        <f>CEILING(B102/IF(A102 &lt;&gt; "",_xlfn.XLOOKUP(A102,'Master List'!$C$3:$C$2983,'Master List'!$E$3:$E$2983),1),0.25)+C102+D102+E102</f>
        <v>0</v>
      </c>
    </row>
    <row r="103" spans="5:7" x14ac:dyDescent="0.2">
      <c r="E103" s="55"/>
      <c r="F103" s="55"/>
      <c r="G103" s="55">
        <f>CEILING(B103/IF(A103 &lt;&gt; "",_xlfn.XLOOKUP(A103,'Master List'!$C$3:$C$2983,'Master List'!$E$3:$E$2983),1),0.25)+C103+D103+E103</f>
        <v>0</v>
      </c>
    </row>
    <row r="104" spans="5:7" x14ac:dyDescent="0.2">
      <c r="E104" s="55"/>
      <c r="F104" s="55"/>
      <c r="G104" s="55">
        <f>CEILING(B104/IF(A104 &lt;&gt; "",_xlfn.XLOOKUP(A104,'Master List'!$C$3:$C$2983,'Master List'!$E$3:$E$2983),1),0.25)+C104+D104+E104</f>
        <v>0</v>
      </c>
    </row>
    <row r="105" spans="5:7" x14ac:dyDescent="0.2">
      <c r="E105" s="55"/>
      <c r="F105" s="55"/>
      <c r="G105" s="55">
        <f>CEILING(B105/IF(A105 &lt;&gt; "",_xlfn.XLOOKUP(A105,'Master List'!$C$3:$C$2983,'Master List'!$E$3:$E$2983),1),0.25)+C105+D105+E105</f>
        <v>0</v>
      </c>
    </row>
    <row r="106" spans="5:7" x14ac:dyDescent="0.2">
      <c r="G106" s="55">
        <f>CEILING(B106/IF(A106 &lt;&gt; "",_xlfn.XLOOKUP(A106,'Master List'!$C$3:$C$2983,'Master List'!$E$3:$E$2983),1),0.25)+C106+D106+E106</f>
        <v>0</v>
      </c>
    </row>
    <row r="107" spans="5:7" x14ac:dyDescent="0.2">
      <c r="G107" s="55">
        <f>CEILING(B107/IF(A107 &lt;&gt; "",_xlfn.XLOOKUP(A107,'Master List'!$C$3:$C$2983,'Master List'!$E$3:$E$2983),1),0.25)+C107+D107+E107</f>
        <v>0</v>
      </c>
    </row>
    <row r="108" spans="5:7" x14ac:dyDescent="0.2">
      <c r="G108" s="55">
        <f>CEILING(B108/IF(A108 &lt;&gt; "",_xlfn.XLOOKUP(A108,'Master List'!$C$3:$C$2983,'Master List'!$E$3:$E$2983),1),0.25)+C108+D108+E108</f>
        <v>0</v>
      </c>
    </row>
    <row r="109" spans="5:7" x14ac:dyDescent="0.2">
      <c r="G109" s="55">
        <f>CEILING(B109/IF(A109 &lt;&gt; "",_xlfn.XLOOKUP(A109,'Master List'!$C$3:$C$2983,'Master List'!$E$3:$E$2983),1),0.25)+C109+D109+E109</f>
        <v>0</v>
      </c>
    </row>
    <row r="110" spans="5:7" x14ac:dyDescent="0.2">
      <c r="G110" s="55">
        <f>CEILING(B110/IF(A110 &lt;&gt; "",_xlfn.XLOOKUP(A110,'Master List'!$C$3:$C$2983,'Master List'!$E$3:$E$2983),1),0.25)+C110+D110+E110</f>
        <v>0</v>
      </c>
    </row>
    <row r="111" spans="5:7" x14ac:dyDescent="0.2">
      <c r="G111" s="55">
        <f>CEILING(B111/IF(A111 &lt;&gt; "",_xlfn.XLOOKUP(A111,'Master List'!$C$3:$C$2983,'Master List'!$E$3:$E$2983),1),0.25)+C111+D111+E111</f>
        <v>0</v>
      </c>
    </row>
    <row r="112" spans="5:7" x14ac:dyDescent="0.2">
      <c r="G112" s="55">
        <f>CEILING(B112/IF(A112 &lt;&gt; "",_xlfn.XLOOKUP(A112,'Master List'!$C$3:$C$2983,'Master List'!$E$3:$E$2983),1),0.25)+C112+D112+E112</f>
        <v>0</v>
      </c>
    </row>
    <row r="113" spans="7:7" x14ac:dyDescent="0.2">
      <c r="G113" s="55">
        <f>CEILING(B113/IF(A113 &lt;&gt; "",_xlfn.XLOOKUP(A113,'Master List'!$C$3:$C$2983,'Master List'!$E$3:$E$2983),1),0.25)+C113+D113+E113</f>
        <v>0</v>
      </c>
    </row>
    <row r="114" spans="7:7" x14ac:dyDescent="0.2">
      <c r="G114" s="55">
        <f>CEILING(B114/IF(A114 &lt;&gt; "",_xlfn.XLOOKUP(A114,'Master List'!$C$3:$C$2983,'Master List'!$E$3:$E$2983),1),0.25)+C114+D114+E114</f>
        <v>0</v>
      </c>
    </row>
    <row r="115" spans="7:7" x14ac:dyDescent="0.2">
      <c r="G115" s="55">
        <f>CEILING(B115/IF(A115 &lt;&gt; "",_xlfn.XLOOKUP(A115,'Master List'!$C$3:$C$2983,'Master List'!$E$3:$E$2983),1),0.25)+C115+D115+E115</f>
        <v>0</v>
      </c>
    </row>
    <row r="116" spans="7:7" x14ac:dyDescent="0.2">
      <c r="G116" s="55">
        <f>CEILING(B116/IF(A116 &lt;&gt; "",_xlfn.XLOOKUP(A116,'Master List'!$C$3:$C$2983,'Master List'!$E$3:$E$2983),1),0.25)+C116+D116+E116</f>
        <v>0</v>
      </c>
    </row>
    <row r="117" spans="7:7" x14ac:dyDescent="0.2">
      <c r="G117" s="55">
        <f>CEILING(B117/IF(A117 &lt;&gt; "",_xlfn.XLOOKUP(A117,'Master List'!$C$3:$C$2983,'Master List'!$E$3:$E$2983),1),0.25)+C117+D117+E117</f>
        <v>0</v>
      </c>
    </row>
    <row r="118" spans="7:7" x14ac:dyDescent="0.2">
      <c r="G118" s="55">
        <f>CEILING(B118/IF(A118 &lt;&gt; "",_xlfn.XLOOKUP(A118,'Master List'!$C$3:$C$2983,'Master List'!$E$3:$E$2983),1),0.25)+C118+D118+E118</f>
        <v>0</v>
      </c>
    </row>
    <row r="119" spans="7:7" x14ac:dyDescent="0.2">
      <c r="G119" s="55">
        <f>CEILING(B119/IF(A119 &lt;&gt; "",_xlfn.XLOOKUP(A119,'Master List'!$C$3:$C$2983,'Master List'!$E$3:$E$2983),1),0.25)+C119+D119+E119</f>
        <v>0</v>
      </c>
    </row>
    <row r="120" spans="7:7" x14ac:dyDescent="0.2">
      <c r="G120" s="55">
        <f>CEILING(B120/IF(A120 &lt;&gt; "",_xlfn.XLOOKUP(A120,'Master List'!$C$3:$C$2983,'Master List'!$E$3:$E$2983),1),0.25)+C120+D120+E120</f>
        <v>0</v>
      </c>
    </row>
    <row r="121" spans="7:7" x14ac:dyDescent="0.2">
      <c r="G121" s="55">
        <f>CEILING(B121/IF(A121 &lt;&gt; "",_xlfn.XLOOKUP(A121,'Master List'!$C$3:$C$2983,'Master List'!$E$3:$E$2983),1),0.25)+C121+D121+E121</f>
        <v>0</v>
      </c>
    </row>
    <row r="122" spans="7:7" x14ac:dyDescent="0.2">
      <c r="G122" s="55">
        <f>CEILING(B122/IF(A122 &lt;&gt; "",_xlfn.XLOOKUP(A122,'Master List'!$C$3:$C$2983,'Master List'!$E$3:$E$2983),1),0.25)+C122+D122+E122</f>
        <v>0</v>
      </c>
    </row>
    <row r="123" spans="7:7" x14ac:dyDescent="0.2">
      <c r="G123" s="55">
        <f>CEILING(B123/IF(A123 &lt;&gt; "",_xlfn.XLOOKUP(A123,'Master List'!$C$3:$C$2983,'Master List'!$E$3:$E$2983),1),0.25)+C123+D123+E123</f>
        <v>0</v>
      </c>
    </row>
    <row r="124" spans="7:7" x14ac:dyDescent="0.2">
      <c r="G124" s="55">
        <f>CEILING(B124/IF(A124 &lt;&gt; "",_xlfn.XLOOKUP(A124,'Master List'!$C$3:$C$2983,'Master List'!$E$3:$E$2983),1),0.25)+C124+D124+E124</f>
        <v>0</v>
      </c>
    </row>
    <row r="125" spans="7:7" x14ac:dyDescent="0.2">
      <c r="G125" s="55">
        <f>CEILING(B125/IF(A125 &lt;&gt; "",_xlfn.XLOOKUP(A125,'Master List'!$C$3:$C$2983,'Master List'!$E$3:$E$2983),1),0.25)+C125+D125+E125</f>
        <v>0</v>
      </c>
    </row>
    <row r="126" spans="7:7" x14ac:dyDescent="0.2">
      <c r="G126" s="55">
        <f>CEILING(B126/IF(A126 &lt;&gt; "",_xlfn.XLOOKUP(A126,'Master List'!$C$3:$C$2983,'Master List'!$E$3:$E$2983),1),0.25)+C126+D126+E126</f>
        <v>0</v>
      </c>
    </row>
    <row r="127" spans="7:7" x14ac:dyDescent="0.2">
      <c r="G127" s="55">
        <f>CEILING(B127/IF(A127 &lt;&gt; "",_xlfn.XLOOKUP(A127,'Master List'!$C$3:$C$2983,'Master List'!$E$3:$E$2983),1),0.25)+C127+D127+E127</f>
        <v>0</v>
      </c>
    </row>
    <row r="128" spans="7:7" x14ac:dyDescent="0.2">
      <c r="G128" s="55">
        <f>CEILING(B128/IF(A128 &lt;&gt; "",_xlfn.XLOOKUP(A128,'Master List'!$C$3:$C$2983,'Master List'!$E$3:$E$2983),1),0.25)+C128+D128+E128</f>
        <v>0</v>
      </c>
    </row>
    <row r="129" spans="7:7" x14ac:dyDescent="0.2">
      <c r="G129" s="55">
        <f>CEILING(B129/IF(A129 &lt;&gt; "",_xlfn.XLOOKUP(A129,'Master List'!$C$3:$C$2983,'Master List'!$E$3:$E$2983),1),0.25)+C129+D129+E129</f>
        <v>0</v>
      </c>
    </row>
    <row r="130" spans="7:7" x14ac:dyDescent="0.2">
      <c r="G130" s="55">
        <f>CEILING(B130/IF(A130 &lt;&gt; "",_xlfn.XLOOKUP(A130,'Master List'!$C$3:$C$2983,'Master List'!$E$3:$E$2983),1),0.25)+C130+D130+E130</f>
        <v>0</v>
      </c>
    </row>
    <row r="131" spans="7:7" x14ac:dyDescent="0.2">
      <c r="G131" s="55">
        <f>CEILING(B131/IF(A131 &lt;&gt; "",_xlfn.XLOOKUP(A131,'Master List'!$C$3:$C$2983,'Master List'!$E$3:$E$2983),1),0.25)+C131+D131+E131</f>
        <v>0</v>
      </c>
    </row>
    <row r="132" spans="7:7" x14ac:dyDescent="0.2">
      <c r="G132" s="55">
        <f>CEILING(B132/IF(A132 &lt;&gt; "",_xlfn.XLOOKUP(A132,'Master List'!$C$3:$C$2983,'Master List'!$E$3:$E$2983),1),0.25)+C132+D132+E132</f>
        <v>0</v>
      </c>
    </row>
    <row r="133" spans="7:7" x14ac:dyDescent="0.2">
      <c r="G133" s="55">
        <f>CEILING(B133/IF(A133 &lt;&gt; "",_xlfn.XLOOKUP(A133,'Master List'!$C$3:$C$2983,'Master List'!$E$3:$E$2983),1),0.25)+C133+D133+E133</f>
        <v>0</v>
      </c>
    </row>
    <row r="134" spans="7:7" x14ac:dyDescent="0.2">
      <c r="G134" s="55">
        <f>CEILING(B134/IF(A134 &lt;&gt; "",_xlfn.XLOOKUP(A134,'Master List'!$C$3:$C$2983,'Master List'!$E$3:$E$2983),1),0.25)+C134+D134+E134</f>
        <v>0</v>
      </c>
    </row>
    <row r="135" spans="7:7" x14ac:dyDescent="0.2">
      <c r="G135" s="55">
        <f>CEILING(B135/IF(A135 &lt;&gt; "",_xlfn.XLOOKUP(A135,'Master List'!$C$3:$C$2983,'Master List'!$E$3:$E$2983),1),0.25)+C135+D135+E135</f>
        <v>0</v>
      </c>
    </row>
    <row r="136" spans="7:7" x14ac:dyDescent="0.2">
      <c r="G136" s="55">
        <f>CEILING(B136/IF(A136 &lt;&gt; "",_xlfn.XLOOKUP(A136,'Master List'!$C$3:$C$2983,'Master List'!$E$3:$E$2983),1),0.25)+C136+D136+E136</f>
        <v>0</v>
      </c>
    </row>
    <row r="137" spans="7:7" x14ac:dyDescent="0.2">
      <c r="G137" s="55">
        <f>CEILING(B137/IF(A137 &lt;&gt; "",_xlfn.XLOOKUP(A137,'Master List'!$C$3:$C$2983,'Master List'!$E$3:$E$2983),1),0.25)+C137+D137+E137</f>
        <v>0</v>
      </c>
    </row>
    <row r="138" spans="7:7" x14ac:dyDescent="0.2">
      <c r="G138" s="55">
        <f>CEILING(B138/IF(A138 &lt;&gt; "",_xlfn.XLOOKUP(A138,'Master List'!$C$3:$C$2983,'Master List'!$E$3:$E$2983),1),0.25)+C138+D138+E138</f>
        <v>0</v>
      </c>
    </row>
    <row r="139" spans="7:7" x14ac:dyDescent="0.2">
      <c r="G139" s="55">
        <f>CEILING(B139/IF(A139 &lt;&gt; "",_xlfn.XLOOKUP(A139,'Master List'!$C$3:$C$2983,'Master List'!$E$3:$E$2983),1),0.25)+C139+D139+E139</f>
        <v>0</v>
      </c>
    </row>
    <row r="140" spans="7:7" x14ac:dyDescent="0.2">
      <c r="G140" s="55">
        <f>CEILING(B140/IF(A140 &lt;&gt; "",_xlfn.XLOOKUP(A140,'Master List'!$C$3:$C$2983,'Master List'!$E$3:$E$2983),1),0.25)+C140+D140+E140</f>
        <v>0</v>
      </c>
    </row>
    <row r="141" spans="7:7" x14ac:dyDescent="0.2">
      <c r="G141" s="55">
        <f>CEILING(B141/IF(A141 &lt;&gt; "",_xlfn.XLOOKUP(A141,'Master List'!$C$3:$C$2983,'Master List'!$E$3:$E$2983),1),0.25)+C141+D141+E141</f>
        <v>0</v>
      </c>
    </row>
    <row r="142" spans="7:7" x14ac:dyDescent="0.2">
      <c r="G142" s="55">
        <f>CEILING(B142/IF(A142 &lt;&gt; "",_xlfn.XLOOKUP(A142,'Master List'!$C$3:$C$2983,'Master List'!$E$3:$E$2983),1),0.25)+C142+D142+E142</f>
        <v>0</v>
      </c>
    </row>
    <row r="143" spans="7:7" x14ac:dyDescent="0.2">
      <c r="G143" s="55">
        <f>CEILING(B143/IF(A143 &lt;&gt; "",_xlfn.XLOOKUP(A143,'Master List'!$C$3:$C$2983,'Master List'!$E$3:$E$2983),1),0.25)+C143+D143+E143</f>
        <v>0</v>
      </c>
    </row>
    <row r="144" spans="7:7" x14ac:dyDescent="0.2">
      <c r="G144" s="55">
        <f>CEILING(B144/IF(A144 &lt;&gt; "",_xlfn.XLOOKUP(A144,'Master List'!$C$3:$C$2983,'Master List'!$E$3:$E$2983),1),0.25)+C144+D144+E144</f>
        <v>0</v>
      </c>
    </row>
    <row r="145" spans="7:7" x14ac:dyDescent="0.2">
      <c r="G145" s="55">
        <f>CEILING(B145/IF(A145 &lt;&gt; "",_xlfn.XLOOKUP(A145,'Master List'!$C$3:$C$2983,'Master List'!$E$3:$E$2983),1),0.25)+C145+D145+E145</f>
        <v>0</v>
      </c>
    </row>
    <row r="146" spans="7:7" x14ac:dyDescent="0.2">
      <c r="G146" s="55">
        <f>CEILING(B146/IF(A146 &lt;&gt; "",_xlfn.XLOOKUP(A146,'Master List'!$C$3:$C$2983,'Master List'!$E$3:$E$2983),1),0.25)+C146+D146+E146</f>
        <v>0</v>
      </c>
    </row>
    <row r="147" spans="7:7" x14ac:dyDescent="0.2">
      <c r="G147" s="55">
        <f>CEILING(B147/IF(A147 &lt;&gt; "",_xlfn.XLOOKUP(A147,'Master List'!$C$3:$C$2983,'Master List'!$E$3:$E$2983),1),0.25)+C147+D147+E147</f>
        <v>0</v>
      </c>
    </row>
    <row r="148" spans="7:7" x14ac:dyDescent="0.2">
      <c r="G148" s="55">
        <f>CEILING(B148/IF(A148 &lt;&gt; "",_xlfn.XLOOKUP(A148,'Master List'!$C$3:$C$2983,'Master List'!$E$3:$E$2983),1),0.25)+C148+D148+E148</f>
        <v>0</v>
      </c>
    </row>
    <row r="149" spans="7:7" x14ac:dyDescent="0.2">
      <c r="G149" s="55">
        <f>CEILING(B149/IF(A149 &lt;&gt; "",_xlfn.XLOOKUP(A149,'Master List'!$C$3:$C$2983,'Master List'!$E$3:$E$2983),1),0.25)+C149+D149+E149</f>
        <v>0</v>
      </c>
    </row>
    <row r="150" spans="7:7" x14ac:dyDescent="0.2">
      <c r="G150" s="55">
        <f>CEILING(B150/IF(A150 &lt;&gt; "",_xlfn.XLOOKUP(A150,'Master List'!$C$3:$C$2983,'Master List'!$E$3:$E$2983),1),0.25)+C150+D150+E150</f>
        <v>0</v>
      </c>
    </row>
    <row r="151" spans="7:7" x14ac:dyDescent="0.2">
      <c r="G151" s="55">
        <f>CEILING(B151/IF(A151 &lt;&gt; "",_xlfn.XLOOKUP(A151,'Master List'!$C$3:$C$2983,'Master List'!$E$3:$E$2983),1),0.25)+C151+D151+E151</f>
        <v>0</v>
      </c>
    </row>
    <row r="152" spans="7:7" x14ac:dyDescent="0.2">
      <c r="G152" s="55">
        <f>CEILING(B152/IF(A152 &lt;&gt; "",_xlfn.XLOOKUP(A152,'Master List'!$C$3:$C$2983,'Master List'!$E$3:$E$2983),1),0.25)+C152+D152+E152</f>
        <v>0</v>
      </c>
    </row>
    <row r="153" spans="7:7" x14ac:dyDescent="0.2">
      <c r="G153" s="55">
        <f>CEILING(B153/IF(A153 &lt;&gt; "",_xlfn.XLOOKUP(A153,'Master List'!$C$3:$C$2983,'Master List'!$E$3:$E$2983),1),0.25)+C153+D153+E153</f>
        <v>0</v>
      </c>
    </row>
    <row r="154" spans="7:7" x14ac:dyDescent="0.2">
      <c r="G154" s="55">
        <f>CEILING(B154/IF(A154 &lt;&gt; "",_xlfn.XLOOKUP(A154,'Master List'!$C$3:$C$2983,'Master List'!$E$3:$E$2983),1),0.25)+C154+D154+E154</f>
        <v>0</v>
      </c>
    </row>
    <row r="155" spans="7:7" x14ac:dyDescent="0.2">
      <c r="G155" s="55">
        <f>CEILING(B155/IF(A155 &lt;&gt; "",_xlfn.XLOOKUP(A155,'Master List'!$C$3:$C$2983,'Master List'!$E$3:$E$2983),1),0.25)+C155+D155+E155</f>
        <v>0</v>
      </c>
    </row>
    <row r="156" spans="7:7" x14ac:dyDescent="0.2">
      <c r="G156" s="55">
        <f>CEILING(B156/IF(A156 &lt;&gt; "",_xlfn.XLOOKUP(A156,'Master List'!$C$3:$C$2983,'Master List'!$E$3:$E$2983),1),0.25)+C156+D156+E156</f>
        <v>0</v>
      </c>
    </row>
    <row r="157" spans="7:7" x14ac:dyDescent="0.2">
      <c r="G157" s="55">
        <f>CEILING(B157/IF(A157 &lt;&gt; "",_xlfn.XLOOKUP(A157,'Master List'!$C$3:$C$2983,'Master List'!$E$3:$E$2983),1),0.25)+C157+D157+E157</f>
        <v>0</v>
      </c>
    </row>
    <row r="158" spans="7:7" x14ac:dyDescent="0.2">
      <c r="G158" s="55">
        <f>CEILING(B158/IF(A158 &lt;&gt; "",_xlfn.XLOOKUP(A158,'Master List'!$C$3:$C$2983,'Master List'!$E$3:$E$2983),1),0.25)+C158+D158+E158</f>
        <v>0</v>
      </c>
    </row>
    <row r="159" spans="7:7" x14ac:dyDescent="0.2">
      <c r="G159" s="55">
        <f>CEILING(B159/IF(A159 &lt;&gt; "",_xlfn.XLOOKUP(A159,'Master List'!$C$3:$C$2983,'Master List'!$E$3:$E$2983),1),0.25)+C159+D159+E159</f>
        <v>0</v>
      </c>
    </row>
    <row r="160" spans="7:7" x14ac:dyDescent="0.2">
      <c r="G160" s="55">
        <f>CEILING(B160/IF(A160 &lt;&gt; "",_xlfn.XLOOKUP(A160,'Master List'!$C$3:$C$2983,'Master List'!$E$3:$E$2983),1),0.25)+C160+D160+E160</f>
        <v>0</v>
      </c>
    </row>
    <row r="161" spans="7:7" x14ac:dyDescent="0.2">
      <c r="G161" s="55">
        <f>CEILING(B161/IF(A161 &lt;&gt; "",_xlfn.XLOOKUP(A161,'Master List'!$C$3:$C$2983,'Master List'!$E$3:$E$2983),1),0.25)+C161+D161+E161</f>
        <v>0</v>
      </c>
    </row>
    <row r="162" spans="7:7" x14ac:dyDescent="0.2">
      <c r="G162" s="55">
        <f>CEILING(B162/IF(A162 &lt;&gt; "",_xlfn.XLOOKUP(A162,'Master List'!$C$3:$C$2983,'Master List'!$E$3:$E$2983),1),0.25)+C162+D162+E162</f>
        <v>0</v>
      </c>
    </row>
    <row r="163" spans="7:7" x14ac:dyDescent="0.2">
      <c r="G163" s="55">
        <f>CEILING(B163/IF(A163 &lt;&gt; "",_xlfn.XLOOKUP(A163,'Master List'!$C$3:$C$2983,'Master List'!$E$3:$E$2983),1),0.25)+C163+D163+E163</f>
        <v>0</v>
      </c>
    </row>
    <row r="164" spans="7:7" x14ac:dyDescent="0.2">
      <c r="G164" s="55">
        <f>CEILING(B164/IF(A164 &lt;&gt; "",_xlfn.XLOOKUP(A164,'Master List'!$C$3:$C$2983,'Master List'!$E$3:$E$2983),1),0.25)+C164+D164+E164</f>
        <v>0</v>
      </c>
    </row>
    <row r="165" spans="7:7" x14ac:dyDescent="0.2">
      <c r="G165" s="55">
        <f>CEILING(B165/IF(A165 &lt;&gt; "",_xlfn.XLOOKUP(A165,'Master List'!$C$3:$C$2983,'Master List'!$E$3:$E$2983),1),0.25)+C165+D165+E165</f>
        <v>0</v>
      </c>
    </row>
    <row r="166" spans="7:7" x14ac:dyDescent="0.2">
      <c r="G166" s="55">
        <f>CEILING(B166/IF(A166 &lt;&gt; "",_xlfn.XLOOKUP(A166,'Master List'!$C$3:$C$2983,'Master List'!$E$3:$E$2983),1),0.25)+C166+D166+E166</f>
        <v>0</v>
      </c>
    </row>
    <row r="167" spans="7:7" x14ac:dyDescent="0.2">
      <c r="G167" s="55">
        <f>CEILING(B167/IF(A167 &lt;&gt; "",_xlfn.XLOOKUP(A167,'Master List'!$C$3:$C$2983,'Master List'!$E$3:$E$2983),1),0.25)+C167+D167+E167</f>
        <v>0</v>
      </c>
    </row>
    <row r="168" spans="7:7" x14ac:dyDescent="0.2">
      <c r="G168" s="55">
        <f>CEILING(B168/IF(A168 &lt;&gt; "",_xlfn.XLOOKUP(A168,'Master List'!$C$3:$C$2983,'Master List'!$E$3:$E$2983),1),0.25)+C168+D168+E168</f>
        <v>0</v>
      </c>
    </row>
    <row r="169" spans="7:7" x14ac:dyDescent="0.2">
      <c r="G169" s="55">
        <f>CEILING(B169/IF(A169 &lt;&gt; "",_xlfn.XLOOKUP(A169,'Master List'!$C$3:$C$2983,'Master List'!$E$3:$E$2983),1),0.25)+C169+D169+E169</f>
        <v>0</v>
      </c>
    </row>
    <row r="170" spans="7:7" x14ac:dyDescent="0.2">
      <c r="G170" s="55">
        <f>CEILING(B170/IF(A170 &lt;&gt; "",_xlfn.XLOOKUP(A170,'Master List'!$C$3:$C$2983,'Master List'!$E$3:$E$2983),1),0.25)+C170+D170+E170</f>
        <v>0</v>
      </c>
    </row>
    <row r="171" spans="7:7" x14ac:dyDescent="0.2">
      <c r="G171" s="55">
        <f>CEILING(B171/IF(A171 &lt;&gt; "",_xlfn.XLOOKUP(A171,'Master List'!$C$3:$C$2983,'Master List'!$E$3:$E$2983),1),0.25)+C171+D171+E171</f>
        <v>0</v>
      </c>
    </row>
    <row r="172" spans="7:7" x14ac:dyDescent="0.2">
      <c r="G172" s="55">
        <f>CEILING(B172/IF(A172 &lt;&gt; "",_xlfn.XLOOKUP(A172,'Master List'!$C$3:$C$2983,'Master List'!$E$3:$E$2983),1),0.25)+C172+D172+E172</f>
        <v>0</v>
      </c>
    </row>
    <row r="173" spans="7:7" x14ac:dyDescent="0.2">
      <c r="G173" s="55">
        <f>CEILING(B173/IF(A173 &lt;&gt; "",_xlfn.XLOOKUP(A173,'Master List'!$C$3:$C$2983,'Master List'!$E$3:$E$2983),1),0.25)+C173+D173+E173</f>
        <v>0</v>
      </c>
    </row>
    <row r="174" spans="7:7" x14ac:dyDescent="0.2">
      <c r="G174" s="55">
        <f>CEILING(B174/IF(A174 &lt;&gt; "",_xlfn.XLOOKUP(A174,'Master List'!$C$3:$C$2983,'Master List'!$E$3:$E$2983),1),0.25)+C174+D174+E174</f>
        <v>0</v>
      </c>
    </row>
    <row r="175" spans="7:7" x14ac:dyDescent="0.2">
      <c r="G175" s="55">
        <f>CEILING(B175/IF(A175 &lt;&gt; "",_xlfn.XLOOKUP(A175,'Master List'!$C$3:$C$2983,'Master List'!$E$3:$E$2983),1),0.25)+C175+D175+E175</f>
        <v>0</v>
      </c>
    </row>
    <row r="176" spans="7:7" x14ac:dyDescent="0.2">
      <c r="G176" s="55">
        <f>CEILING(B176/IF(A176 &lt;&gt; "",_xlfn.XLOOKUP(A176,'Master List'!$C$3:$C$2983,'Master List'!$E$3:$E$2983),1),0.25)+C176+D176+E176</f>
        <v>0</v>
      </c>
    </row>
    <row r="177" spans="7:7" x14ac:dyDescent="0.2">
      <c r="G177" s="55">
        <f>CEILING(B177/IF(A177 &lt;&gt; "",_xlfn.XLOOKUP(A177,'Master List'!$C$3:$C$2983,'Master List'!$E$3:$E$2983),1),0.25)+C177+D177+E177</f>
        <v>0</v>
      </c>
    </row>
    <row r="178" spans="7:7" x14ac:dyDescent="0.2">
      <c r="G178" s="55">
        <f>CEILING(B178/IF(A178 &lt;&gt; "",_xlfn.XLOOKUP(A178,'Master List'!$C$3:$C$2983,'Master List'!$E$3:$E$2983),1),0.25)+C178+D178+E178</f>
        <v>0</v>
      </c>
    </row>
    <row r="179" spans="7:7" x14ac:dyDescent="0.2">
      <c r="G179" s="55">
        <f>CEILING(B179/IF(A179 &lt;&gt; "",_xlfn.XLOOKUP(A179,'Master List'!$C$3:$C$2983,'Master List'!$E$3:$E$2983),1),0.25)+C179+D179+E179</f>
        <v>0</v>
      </c>
    </row>
    <row r="180" spans="7:7" x14ac:dyDescent="0.2">
      <c r="G180" s="55">
        <f>CEILING(B180/IF(A180 &lt;&gt; "",_xlfn.XLOOKUP(A180,'Master List'!$C$3:$C$2983,'Master List'!$E$3:$E$2983),1),0.25)+C180+D180+E180</f>
        <v>0</v>
      </c>
    </row>
    <row r="181" spans="7:7" x14ac:dyDescent="0.2">
      <c r="G181" s="55">
        <f>CEILING(B181/IF(A181 &lt;&gt; "",_xlfn.XLOOKUP(A181,'Master List'!$C$3:$C$2983,'Master List'!$E$3:$E$2983),1),0.25)+C181+D181+E181</f>
        <v>0</v>
      </c>
    </row>
    <row r="182" spans="7:7" x14ac:dyDescent="0.2">
      <c r="G182" s="55">
        <f>CEILING(B182/IF(A182 &lt;&gt; "",_xlfn.XLOOKUP(A182,'Master List'!$C$3:$C$2983,'Master List'!$E$3:$E$2983),1),0.25)+C182+D182+E182</f>
        <v>0</v>
      </c>
    </row>
    <row r="183" spans="7:7" x14ac:dyDescent="0.2">
      <c r="G183" s="55">
        <f>CEILING(B183/IF(A183 &lt;&gt; "",_xlfn.XLOOKUP(A183,'Master List'!$C$3:$C$2983,'Master List'!$E$3:$E$2983),1),0.25)+C183+D183+E183</f>
        <v>0</v>
      </c>
    </row>
    <row r="184" spans="7:7" x14ac:dyDescent="0.2">
      <c r="G184" s="55">
        <f>CEILING(B184/IF(A184 &lt;&gt; "",_xlfn.XLOOKUP(A184,'Master List'!$C$3:$C$2983,'Master List'!$E$3:$E$2983),1),0.25)+C184+D184+E184</f>
        <v>0</v>
      </c>
    </row>
    <row r="185" spans="7:7" x14ac:dyDescent="0.2">
      <c r="G185" s="55">
        <f>CEILING(B185/IF(A185 &lt;&gt; "",_xlfn.XLOOKUP(A185,'Master List'!$C$3:$C$2983,'Master List'!$E$3:$E$2983),1),0.25)+C185+D185+E185</f>
        <v>0</v>
      </c>
    </row>
    <row r="186" spans="7:7" x14ac:dyDescent="0.2">
      <c r="G186" s="55">
        <f>CEILING(B186/IF(A186 &lt;&gt; "",_xlfn.XLOOKUP(A186,'Master List'!$C$3:$C$2983,'Master List'!$E$3:$E$2983),1),0.25)+C186+D186+E186</f>
        <v>0</v>
      </c>
    </row>
    <row r="187" spans="7:7" x14ac:dyDescent="0.2">
      <c r="G187" s="55">
        <f>CEILING(B187/IF(A187 &lt;&gt; "",_xlfn.XLOOKUP(A187,'Master List'!$C$3:$C$2983,'Master List'!$E$3:$E$2983),1),0.25)+C187+D187+E187</f>
        <v>0</v>
      </c>
    </row>
    <row r="188" spans="7:7" x14ac:dyDescent="0.2">
      <c r="G188" s="55">
        <f>CEILING(B188/IF(A188 &lt;&gt; "",_xlfn.XLOOKUP(A188,'Master List'!$C$3:$C$2983,'Master List'!$E$3:$E$2983),1),0.25)+C188+D188+E188</f>
        <v>0</v>
      </c>
    </row>
    <row r="189" spans="7:7" x14ac:dyDescent="0.2">
      <c r="G189" s="55">
        <f>CEILING(B189/IF(A189 &lt;&gt; "",_xlfn.XLOOKUP(A189,'Master List'!$C$3:$C$2983,'Master List'!$E$3:$E$2983),1),0.25)+C189+D189+E189</f>
        <v>0</v>
      </c>
    </row>
    <row r="190" spans="7:7" x14ac:dyDescent="0.2">
      <c r="G190" s="55">
        <f>CEILING(B190/IF(A190 &lt;&gt; "",_xlfn.XLOOKUP(A190,'Master List'!$C$3:$C$2983,'Master List'!$E$3:$E$2983),1),0.25)+C190+D190+E190</f>
        <v>0</v>
      </c>
    </row>
    <row r="191" spans="7:7" x14ac:dyDescent="0.2">
      <c r="G191" s="55">
        <f>CEILING(B191/IF(A191 &lt;&gt; "",_xlfn.XLOOKUP(A191,'Master List'!$C$3:$C$2983,'Master List'!$E$3:$E$2983),1),0.25)+C191+D191+E191</f>
        <v>0</v>
      </c>
    </row>
    <row r="192" spans="7:7" x14ac:dyDescent="0.2">
      <c r="G192" s="55">
        <f>CEILING(B192/IF(A192 &lt;&gt; "",_xlfn.XLOOKUP(A192,'Master List'!$C$3:$C$2983,'Master List'!$E$3:$E$2983),1),0.25)+C192+D192+E192</f>
        <v>0</v>
      </c>
    </row>
    <row r="193" spans="7:7" x14ac:dyDescent="0.2">
      <c r="G193" s="55">
        <f>CEILING(B193/IF(A193 &lt;&gt; "",_xlfn.XLOOKUP(A193,'Master List'!$C$3:$C$2983,'Master List'!$E$3:$E$2983),1),0.25)+C193+D193+E193</f>
        <v>0</v>
      </c>
    </row>
    <row r="194" spans="7:7" x14ac:dyDescent="0.2">
      <c r="G194" s="55">
        <f>CEILING(B194/IF(A194 &lt;&gt; "",_xlfn.XLOOKUP(A194,'Master List'!$C$3:$C$2983,'Master List'!$E$3:$E$2983),1),0.25)+C194+D194+E194</f>
        <v>0</v>
      </c>
    </row>
    <row r="195" spans="7:7" x14ac:dyDescent="0.2">
      <c r="G195" s="55">
        <f>CEILING(B195/IF(A195 &lt;&gt; "",_xlfn.XLOOKUP(A195,'Master List'!$C$3:$C$2983,'Master List'!$E$3:$E$2983),1),0.25)+C195+D195+E195</f>
        <v>0</v>
      </c>
    </row>
    <row r="196" spans="7:7" x14ac:dyDescent="0.2">
      <c r="G196" s="55">
        <f>CEILING(B196/IF(A196 &lt;&gt; "",_xlfn.XLOOKUP(A196,'Master List'!$C$3:$C$2983,'Master List'!$E$3:$E$2983),1),0.25)+C196+D196+E196</f>
        <v>0</v>
      </c>
    </row>
    <row r="197" spans="7:7" x14ac:dyDescent="0.2">
      <c r="G197" s="55">
        <f>CEILING(B197/IF(A197 &lt;&gt; "",_xlfn.XLOOKUP(A197,'Master List'!$C$3:$C$2983,'Master List'!$E$3:$E$2983),1),0.25)+C197+D197+E197</f>
        <v>0</v>
      </c>
    </row>
    <row r="198" spans="7:7" x14ac:dyDescent="0.2">
      <c r="G198" s="55">
        <f>CEILING(B198/IF(A198 &lt;&gt; "",_xlfn.XLOOKUP(A198,'Master List'!$C$3:$C$2983,'Master List'!$E$3:$E$2983),1),0.25)+C198+D198+E198</f>
        <v>0</v>
      </c>
    </row>
    <row r="199" spans="7:7" x14ac:dyDescent="0.2">
      <c r="G199" s="55">
        <f>CEILING(B199/IF(A199 &lt;&gt; "",_xlfn.XLOOKUP(A199,'Master List'!$C$3:$C$2983,'Master List'!$E$3:$E$2983),1),0.25)+C199+D199+E199</f>
        <v>0</v>
      </c>
    </row>
    <row r="200" spans="7:7" x14ac:dyDescent="0.2">
      <c r="G200" s="55">
        <f>CEILING(B200/IF(A200 &lt;&gt; "",_xlfn.XLOOKUP(A200,'Master List'!$C$3:$C$2983,'Master List'!$E$3:$E$2983),1),0.25)+C200+D200+E200</f>
        <v>0</v>
      </c>
    </row>
    <row r="201" spans="7:7" x14ac:dyDescent="0.2">
      <c r="G201" s="55">
        <f>CEILING(B201/IF(A201 &lt;&gt; "",_xlfn.XLOOKUP(A201,'Master List'!$C$3:$C$2983,'Master List'!$E$3:$E$2983),1),0.25)+C201+D201+E201</f>
        <v>0</v>
      </c>
    </row>
    <row r="202" spans="7:7" x14ac:dyDescent="0.2">
      <c r="G202" s="55">
        <f>CEILING(B202/IF(A202 &lt;&gt; "",_xlfn.XLOOKUP(A202,'Master List'!$C$3:$C$2983,'Master List'!$E$3:$E$2983),1),0.25)+C202+D202+E202</f>
        <v>0</v>
      </c>
    </row>
    <row r="203" spans="7:7" x14ac:dyDescent="0.2">
      <c r="G203" s="55">
        <f>CEILING(B203/IF(A203 &lt;&gt; "",_xlfn.XLOOKUP(A203,'Master List'!$C$3:$C$2983,'Master List'!$E$3:$E$2983),1),0.25)+C203+D203+E203</f>
        <v>0</v>
      </c>
    </row>
    <row r="204" spans="7:7" x14ac:dyDescent="0.2">
      <c r="G204" s="55">
        <f>CEILING(B204/IF(A204 &lt;&gt; "",_xlfn.XLOOKUP(A204,'Master List'!$C$3:$C$2983,'Master List'!$E$3:$E$2983),1),0.25)+C204+D204+E204</f>
        <v>0</v>
      </c>
    </row>
    <row r="205" spans="7:7" x14ac:dyDescent="0.2">
      <c r="G205" s="55">
        <f>CEILING(B205/IF(A205 &lt;&gt; "",_xlfn.XLOOKUP(A205,'Master List'!$C$3:$C$2983,'Master List'!$E$3:$E$2983),1),0.25)+C205+D205+E205</f>
        <v>0</v>
      </c>
    </row>
    <row r="206" spans="7:7" x14ac:dyDescent="0.2">
      <c r="G206" s="55">
        <f>CEILING(B206/IF(A206 &lt;&gt; "",_xlfn.XLOOKUP(A206,'Master List'!$C$3:$C$2983,'Master List'!$E$3:$E$2983),1),0.25)+C206+D206+E206</f>
        <v>0</v>
      </c>
    </row>
    <row r="207" spans="7:7" x14ac:dyDescent="0.2">
      <c r="G207" s="55">
        <f>CEILING(B207/IF(A207 &lt;&gt; "",_xlfn.XLOOKUP(A207,'Master List'!$C$3:$C$2983,'Master List'!$E$3:$E$2983),1),0.25)+C207+D207+E207</f>
        <v>0</v>
      </c>
    </row>
    <row r="208" spans="7:7" x14ac:dyDescent="0.2">
      <c r="G208" s="55">
        <f>CEILING(B208/IF(A208 &lt;&gt; "",_xlfn.XLOOKUP(A208,'Master List'!$C$3:$C$2983,'Master List'!$E$3:$E$2983),1),0.25)+C208+D208+E208</f>
        <v>0</v>
      </c>
    </row>
    <row r="209" spans="7:7" x14ac:dyDescent="0.2">
      <c r="G209" s="55">
        <f>CEILING(B209/IF(A209 &lt;&gt; "",_xlfn.XLOOKUP(A209,'Master List'!$C$3:$C$2983,'Master List'!$E$3:$E$2983),1),0.25)+C209+D209+E209</f>
        <v>0</v>
      </c>
    </row>
    <row r="210" spans="7:7" x14ac:dyDescent="0.2">
      <c r="G210" s="55">
        <f>CEILING(B210/IF(A210 &lt;&gt; "",_xlfn.XLOOKUP(A210,'Master List'!$C$3:$C$2983,'Master List'!$E$3:$E$2983),1),0.25)+C210+D210+E210</f>
        <v>0</v>
      </c>
    </row>
    <row r="211" spans="7:7" x14ac:dyDescent="0.2">
      <c r="G211" s="55">
        <f>CEILING(B211/IF(A211 &lt;&gt; "",_xlfn.XLOOKUP(A211,'Master List'!$C$3:$C$2983,'Master List'!$E$3:$E$2983),1),0.25)+C211+D211+E211</f>
        <v>0</v>
      </c>
    </row>
    <row r="212" spans="7:7" x14ac:dyDescent="0.2">
      <c r="G212" s="55">
        <f>CEILING(B212/IF(A212 &lt;&gt; "",_xlfn.XLOOKUP(A212,'Master List'!$C$3:$C$2983,'Master List'!$E$3:$E$2983),1),0.25)+C212+D212+E212</f>
        <v>0</v>
      </c>
    </row>
    <row r="213" spans="7:7" x14ac:dyDescent="0.2">
      <c r="G213" s="55">
        <f>CEILING(B213/IF(A213 &lt;&gt; "",_xlfn.XLOOKUP(A213,'Master List'!$C$3:$C$2983,'Master List'!$E$3:$E$2983),1),0.25)+C213+D213+E213</f>
        <v>0</v>
      </c>
    </row>
    <row r="214" spans="7:7" x14ac:dyDescent="0.2">
      <c r="G214" s="55">
        <f>CEILING(B214/IF(A214 &lt;&gt; "",_xlfn.XLOOKUP(A214,'Master List'!$C$3:$C$2983,'Master List'!$E$3:$E$2983),1),0.25)+C214+D214+E214</f>
        <v>0</v>
      </c>
    </row>
    <row r="215" spans="7:7" x14ac:dyDescent="0.2">
      <c r="G215" s="55">
        <f>CEILING(B215/IF(A215 &lt;&gt; "",_xlfn.XLOOKUP(A215,'Master List'!$C$3:$C$2983,'Master List'!$E$3:$E$2983),1),0.25)+C215+D215+E215</f>
        <v>0</v>
      </c>
    </row>
    <row r="216" spans="7:7" x14ac:dyDescent="0.2">
      <c r="G216" s="55">
        <f>CEILING(B216/IF(A216 &lt;&gt; "",_xlfn.XLOOKUP(A216,'Master List'!$C$3:$C$2983,'Master List'!$E$3:$E$2983),1),0.25)+C216+D216+E216</f>
        <v>0</v>
      </c>
    </row>
    <row r="217" spans="7:7" x14ac:dyDescent="0.2">
      <c r="G217" s="55">
        <f>CEILING(B217/IF(A217 &lt;&gt; "",_xlfn.XLOOKUP(A217,'Master List'!$C$3:$C$2983,'Master List'!$E$3:$E$2983),1),0.25)+C217+D217+E217</f>
        <v>0</v>
      </c>
    </row>
    <row r="218" spans="7:7" x14ac:dyDescent="0.2">
      <c r="G218" s="55">
        <f>CEILING(B218/IF(A218 &lt;&gt; "",_xlfn.XLOOKUP(A218,'Master List'!$C$3:$C$2983,'Master List'!$E$3:$E$2983),1),0.25)+C218+D218+E218</f>
        <v>0</v>
      </c>
    </row>
    <row r="219" spans="7:7" x14ac:dyDescent="0.2">
      <c r="G219" s="55">
        <f>CEILING(B219/IF(A219 &lt;&gt; "",_xlfn.XLOOKUP(A219,'Master List'!$C$3:$C$2983,'Master List'!$E$3:$E$2983),1),0.25)+C219+D219+E219</f>
        <v>0</v>
      </c>
    </row>
    <row r="220" spans="7:7" x14ac:dyDescent="0.2">
      <c r="G220" s="55">
        <f>CEILING(B220/IF(A220 &lt;&gt; "",_xlfn.XLOOKUP(A220,'Master List'!$C$3:$C$2983,'Master List'!$E$3:$E$2983),1),0.25)+C220+D220+E220</f>
        <v>0</v>
      </c>
    </row>
    <row r="221" spans="7:7" x14ac:dyDescent="0.2">
      <c r="G221" s="55">
        <f>CEILING(B221/IF(A221 &lt;&gt; "",_xlfn.XLOOKUP(A221,'Master List'!$C$3:$C$2983,'Master List'!$E$3:$E$2983),1),0.25)+C221+D221+E221</f>
        <v>0</v>
      </c>
    </row>
    <row r="222" spans="7:7" x14ac:dyDescent="0.2">
      <c r="G222" s="55">
        <f>CEILING(B222/IF(A222 &lt;&gt; "",_xlfn.XLOOKUP(A222,'Master List'!$C$3:$C$2983,'Master List'!$E$3:$E$2983),1),0.25)+C222+D222+E222</f>
        <v>0</v>
      </c>
    </row>
    <row r="223" spans="7:7" x14ac:dyDescent="0.2">
      <c r="G223" s="55">
        <f>CEILING(B223/IF(A223 &lt;&gt; "",_xlfn.XLOOKUP(A223,'Master List'!$C$3:$C$2983,'Master List'!$E$3:$E$2983),1),0.25)+C223+D223+E223</f>
        <v>0</v>
      </c>
    </row>
    <row r="224" spans="7:7" x14ac:dyDescent="0.2">
      <c r="G224" s="55">
        <f>CEILING(B224/IF(A224 &lt;&gt; "",_xlfn.XLOOKUP(A224,'Master List'!$C$3:$C$2983,'Master List'!$E$3:$E$2983),1),0.25)+C224+D224+E224</f>
        <v>0</v>
      </c>
    </row>
    <row r="225" spans="7:7" x14ac:dyDescent="0.2">
      <c r="G225" s="55">
        <f>CEILING(B225/IF(A225 &lt;&gt; "",_xlfn.XLOOKUP(A225,'Master List'!$C$3:$C$2983,'Master List'!$E$3:$E$2983),1),0.25)+C225+D225+E225</f>
        <v>0</v>
      </c>
    </row>
    <row r="226" spans="7:7" x14ac:dyDescent="0.2">
      <c r="G226" s="55">
        <f>CEILING(B226/IF(A226 &lt;&gt; "",_xlfn.XLOOKUP(A226,'Master List'!$C$3:$C$2983,'Master List'!$E$3:$E$2983),1),0.25)+C226+D226+E226</f>
        <v>0</v>
      </c>
    </row>
    <row r="227" spans="7:7" x14ac:dyDescent="0.2">
      <c r="G227" s="55">
        <f>CEILING(B227/IF(A227 &lt;&gt; "",_xlfn.XLOOKUP(A227,'Master List'!$C$3:$C$2983,'Master List'!$E$3:$E$2983),1),0.25)+C227+D227+E227</f>
        <v>0</v>
      </c>
    </row>
    <row r="228" spans="7:7" x14ac:dyDescent="0.2">
      <c r="G228" s="55">
        <f>CEILING(B228/IF(A228 &lt;&gt; "",_xlfn.XLOOKUP(A228,'Master List'!$C$3:$C$2983,'Master List'!$E$3:$E$2983),1),0.25)+C228+D228+E228</f>
        <v>0</v>
      </c>
    </row>
    <row r="229" spans="7:7" x14ac:dyDescent="0.2">
      <c r="G229" s="55">
        <f>CEILING(B229/IF(A229 &lt;&gt; "",_xlfn.XLOOKUP(A229,'Master List'!$C$3:$C$2983,'Master List'!$E$3:$E$2983),1),0.25)+C229+D229+E229</f>
        <v>0</v>
      </c>
    </row>
    <row r="230" spans="7:7" x14ac:dyDescent="0.2">
      <c r="G230" s="55">
        <f>CEILING(B230/IF(A230 &lt;&gt; "",_xlfn.XLOOKUP(A230,'Master List'!$C$3:$C$2983,'Master List'!$E$3:$E$2983),1),0.25)+C230+D230+E230</f>
        <v>0</v>
      </c>
    </row>
    <row r="231" spans="7:7" x14ac:dyDescent="0.2">
      <c r="G231" s="55">
        <f>CEILING(B231/IF(A231 &lt;&gt; "",_xlfn.XLOOKUP(A231,'Master List'!$C$3:$C$2983,'Master List'!$E$3:$E$2983),1),0.25)+C231+D231+E231</f>
        <v>0</v>
      </c>
    </row>
    <row r="232" spans="7:7" x14ac:dyDescent="0.2">
      <c r="G232" s="55">
        <f>CEILING(B232/IF(A232 &lt;&gt; "",_xlfn.XLOOKUP(A232,'Master List'!$C$3:$C$2983,'Master List'!$E$3:$E$2983),1),0.25)+C232+D232+E232</f>
        <v>0</v>
      </c>
    </row>
    <row r="233" spans="7:7" x14ac:dyDescent="0.2">
      <c r="G233" s="55">
        <f>CEILING(B233/IF(A233 &lt;&gt; "",_xlfn.XLOOKUP(A233,'Master List'!$C$3:$C$2983,'Master List'!$E$3:$E$2983),1),0.25)+C233+D233+E233</f>
        <v>0</v>
      </c>
    </row>
    <row r="234" spans="7:7" x14ac:dyDescent="0.2">
      <c r="G234" s="55">
        <f>CEILING(B234/IF(A234 &lt;&gt; "",_xlfn.XLOOKUP(A234,'Master List'!$C$3:$C$2983,'Master List'!$E$3:$E$2983),1),0.25)+C234+D234+E234</f>
        <v>0</v>
      </c>
    </row>
    <row r="235" spans="7:7" x14ac:dyDescent="0.2">
      <c r="G235" s="55">
        <f>CEILING(B235/IF(A235 &lt;&gt; "",_xlfn.XLOOKUP(A235,'Master List'!$C$3:$C$2983,'Master List'!$E$3:$E$2983),1),0.25)+C235+D235+E235</f>
        <v>0</v>
      </c>
    </row>
    <row r="236" spans="7:7" x14ac:dyDescent="0.2">
      <c r="G236" s="55">
        <f>CEILING(B236/IF(A236 &lt;&gt; "",_xlfn.XLOOKUP(A236,'Master List'!$C$3:$C$2983,'Master List'!$E$3:$E$2983),1),0.25)+C236+D236+E236</f>
        <v>0</v>
      </c>
    </row>
    <row r="237" spans="7:7" x14ac:dyDescent="0.2">
      <c r="G237" s="55">
        <f>CEILING(B237/IF(A237 &lt;&gt; "",_xlfn.XLOOKUP(A237,'Master List'!$C$3:$C$2983,'Master List'!$E$3:$E$2983),1),0.25)+C237+D237+E237</f>
        <v>0</v>
      </c>
    </row>
    <row r="238" spans="7:7" x14ac:dyDescent="0.2">
      <c r="G238" s="55">
        <f>CEILING(B238/IF(A238 &lt;&gt; "",_xlfn.XLOOKUP(A238,'Master List'!$C$3:$C$2983,'Master List'!$E$3:$E$2983),1),0.25)+C238+D238+E238</f>
        <v>0</v>
      </c>
    </row>
    <row r="239" spans="7:7" x14ac:dyDescent="0.2">
      <c r="G239" s="55">
        <f>CEILING(B239/IF(A239 &lt;&gt; "",_xlfn.XLOOKUP(A239,'Master List'!$C$3:$C$2983,'Master List'!$E$3:$E$2983),1),0.25)+C239+D239+E239</f>
        <v>0</v>
      </c>
    </row>
    <row r="240" spans="7:7" x14ac:dyDescent="0.2">
      <c r="G240" s="55">
        <f>CEILING(B240/IF(A240 &lt;&gt; "",_xlfn.XLOOKUP(A240,'Master List'!$C$3:$C$2983,'Master List'!$E$3:$E$2983),1),0.25)+C240+D240+E240</f>
        <v>0</v>
      </c>
    </row>
    <row r="241" spans="7:7" x14ac:dyDescent="0.2">
      <c r="G241" s="55">
        <f>CEILING(B241/IF(A241 &lt;&gt; "",_xlfn.XLOOKUP(A241,'Master List'!$C$3:$C$2983,'Master List'!$E$3:$E$2983),1),0.25)+C241+D241+E241</f>
        <v>0</v>
      </c>
    </row>
    <row r="242" spans="7:7" x14ac:dyDescent="0.2">
      <c r="G242" s="55">
        <f>CEILING(B242/IF(A242 &lt;&gt; "",_xlfn.XLOOKUP(A242,'Master List'!$C$3:$C$2983,'Master List'!$E$3:$E$2983),1),0.25)+C242+D242+E242</f>
        <v>0</v>
      </c>
    </row>
    <row r="243" spans="7:7" x14ac:dyDescent="0.2">
      <c r="G243" s="55">
        <f>CEILING(B243/IF(A243 &lt;&gt; "",_xlfn.XLOOKUP(A243,'Master List'!$C$3:$C$2983,'Master List'!$E$3:$E$2983),1),0.25)+C243+D243+E243</f>
        <v>0</v>
      </c>
    </row>
    <row r="244" spans="7:7" x14ac:dyDescent="0.2">
      <c r="G244" s="55">
        <f>CEILING(B244/IF(A244 &lt;&gt; "",_xlfn.XLOOKUP(A244,'Master List'!$C$3:$C$2983,'Master List'!$E$3:$E$2983),1),0.25)+C244+D244+E244</f>
        <v>0</v>
      </c>
    </row>
    <row r="245" spans="7:7" x14ac:dyDescent="0.2">
      <c r="G245" s="55">
        <f>CEILING(B245/IF(A245 &lt;&gt; "",_xlfn.XLOOKUP(A245,'Master List'!$C$3:$C$2983,'Master List'!$E$3:$E$2983),1),0.25)+C245+D245+E245</f>
        <v>0</v>
      </c>
    </row>
    <row r="246" spans="7:7" x14ac:dyDescent="0.2">
      <c r="G246" s="55">
        <f>CEILING(B246/IF(A246 &lt;&gt; "",_xlfn.XLOOKUP(A246,'Master List'!$C$3:$C$2983,'Master List'!$E$3:$E$2983),1),0.25)+C246+D246+E246</f>
        <v>0</v>
      </c>
    </row>
    <row r="247" spans="7:7" x14ac:dyDescent="0.2">
      <c r="G247" s="55">
        <f>CEILING(B247/IF(A247 &lt;&gt; "",_xlfn.XLOOKUP(A247,'Master List'!$C$3:$C$2983,'Master List'!$E$3:$E$2983),1),0.25)+C247+D247+E247</f>
        <v>0</v>
      </c>
    </row>
    <row r="248" spans="7:7" x14ac:dyDescent="0.2">
      <c r="G248" s="55">
        <f>CEILING(B248/IF(A248 &lt;&gt; "",_xlfn.XLOOKUP(A248,'Master List'!$C$3:$C$2983,'Master List'!$E$3:$E$2983),1),0.25)+C248+D248+E248</f>
        <v>0</v>
      </c>
    </row>
    <row r="249" spans="7:7" x14ac:dyDescent="0.2">
      <c r="G249" s="55">
        <f>CEILING(B249/IF(A249 &lt;&gt; "",_xlfn.XLOOKUP(A249,'Master List'!$C$3:$C$2983,'Master List'!$E$3:$E$2983),1),0.25)+C249+D249+E249</f>
        <v>0</v>
      </c>
    </row>
    <row r="250" spans="7:7" x14ac:dyDescent="0.2">
      <c r="G250" s="55">
        <f>CEILING(B250/IF(A250 &lt;&gt; "",_xlfn.XLOOKUP(A250,'Master List'!$C$3:$C$2983,'Master List'!$E$3:$E$2983),1),0.25)+C250+D250+E250</f>
        <v>0</v>
      </c>
    </row>
    <row r="251" spans="7:7" x14ac:dyDescent="0.2">
      <c r="G251" s="55">
        <f>CEILING(B251/IF(A251 &lt;&gt; "",_xlfn.XLOOKUP(A251,'Master List'!$C$3:$C$2983,'Master List'!$E$3:$E$2983),1),0.25)+C251+D251+E251</f>
        <v>0</v>
      </c>
    </row>
    <row r="252" spans="7:7" x14ac:dyDescent="0.2">
      <c r="G252" s="55">
        <f>CEILING(B252/IF(A252 &lt;&gt; "",_xlfn.XLOOKUP(A252,'Master List'!$C$3:$C$2983,'Master List'!$E$3:$E$2983),1),0.25)+C252+D252+E252</f>
        <v>0</v>
      </c>
    </row>
    <row r="253" spans="7:7" x14ac:dyDescent="0.2">
      <c r="G253" s="55">
        <f>CEILING(B253/IF(A253 &lt;&gt; "",_xlfn.XLOOKUP(A253,'Master List'!$C$3:$C$2983,'Master List'!$E$3:$E$2983),1),0.25)+C253+D253+E253</f>
        <v>0</v>
      </c>
    </row>
    <row r="254" spans="7:7" x14ac:dyDescent="0.2">
      <c r="G254" s="55">
        <f>CEILING(B254/IF(A254 &lt;&gt; "",_xlfn.XLOOKUP(A254,'Master List'!$C$3:$C$2983,'Master List'!$E$3:$E$2983),1),0.25)+C254+D254+E254</f>
        <v>0</v>
      </c>
    </row>
    <row r="255" spans="7:7" x14ac:dyDescent="0.2">
      <c r="G255" s="55">
        <f>CEILING(B255/IF(A255 &lt;&gt; "",_xlfn.XLOOKUP(A255,'Master List'!$C$3:$C$2983,'Master List'!$E$3:$E$2983),1),0.25)+C255+D255+E255</f>
        <v>0</v>
      </c>
    </row>
    <row r="256" spans="7:7" x14ac:dyDescent="0.2">
      <c r="G256" s="55">
        <f>CEILING(B256/IF(A256 &lt;&gt; "",_xlfn.XLOOKUP(A256,'Master List'!$C$3:$C$2983,'Master List'!$E$3:$E$2983),1),0.25)+C256+D256+E256</f>
        <v>0</v>
      </c>
    </row>
    <row r="257" spans="7:7" x14ac:dyDescent="0.2">
      <c r="G257" s="55">
        <f>CEILING(B257/IF(A257 &lt;&gt; "",_xlfn.XLOOKUP(A257,'Master List'!$C$3:$C$2983,'Master List'!$E$3:$E$2983),1),0.25)+C257+D257+E257</f>
        <v>0</v>
      </c>
    </row>
    <row r="258" spans="7:7" x14ac:dyDescent="0.2">
      <c r="G258" s="55">
        <f>CEILING(B258/IF(A258 &lt;&gt; "",_xlfn.XLOOKUP(A258,'Master List'!$C$3:$C$2983,'Master List'!$E$3:$E$2983),1),0.25)+C258+D258+E258</f>
        <v>0</v>
      </c>
    </row>
    <row r="259" spans="7:7" x14ac:dyDescent="0.2">
      <c r="G259" s="55">
        <f>CEILING(B259/IF(A259 &lt;&gt; "",_xlfn.XLOOKUP(A259,'Master List'!$C$3:$C$2983,'Master List'!$E$3:$E$2983),1),0.25)+C259+D259+E259</f>
        <v>0</v>
      </c>
    </row>
    <row r="260" spans="7:7" x14ac:dyDescent="0.2">
      <c r="G260" s="55">
        <f>CEILING(B260/IF(A260 &lt;&gt; "",_xlfn.XLOOKUP(A260,'Master List'!$C$3:$C$2983,'Master List'!$E$3:$E$2983),1),0.25)+C260+D260+E260</f>
        <v>0</v>
      </c>
    </row>
    <row r="261" spans="7:7" x14ac:dyDescent="0.2">
      <c r="G261" s="55">
        <f>CEILING(B261/IF(A261 &lt;&gt; "",_xlfn.XLOOKUP(A261,'Master List'!$C$3:$C$2983,'Master List'!$E$3:$E$2983),1),0.25)+C261+D261+E261</f>
        <v>0</v>
      </c>
    </row>
    <row r="262" spans="7:7" x14ac:dyDescent="0.2">
      <c r="G262" s="55">
        <f>CEILING(B262/IF(A262 &lt;&gt; "",_xlfn.XLOOKUP(A262,'Master List'!$C$3:$C$2983,'Master List'!$E$3:$E$2983),1),0.25)+C262+D262+E262</f>
        <v>0</v>
      </c>
    </row>
    <row r="263" spans="7:7" x14ac:dyDescent="0.2">
      <c r="G263" s="55">
        <f>CEILING(B263/IF(A263 &lt;&gt; "",_xlfn.XLOOKUP(A263,'Master List'!$C$3:$C$2983,'Master List'!$E$3:$E$2983),1),0.25)+C263+D263+E263</f>
        <v>0</v>
      </c>
    </row>
    <row r="264" spans="7:7" x14ac:dyDescent="0.2">
      <c r="G264" s="55">
        <f>CEILING(B264/IF(A264 &lt;&gt; "",_xlfn.XLOOKUP(A264,'Master List'!$C$3:$C$2983,'Master List'!$E$3:$E$2983),1),0.25)+C264+D264+E264</f>
        <v>0</v>
      </c>
    </row>
    <row r="265" spans="7:7" x14ac:dyDescent="0.2">
      <c r="G265" s="55">
        <f>CEILING(B265/IF(A265 &lt;&gt; "",_xlfn.XLOOKUP(A265,'Master List'!$C$3:$C$2983,'Master List'!$E$3:$E$2983),1),0.25)+C265+D265+E265</f>
        <v>0</v>
      </c>
    </row>
    <row r="266" spans="7:7" x14ac:dyDescent="0.2">
      <c r="G266" s="55">
        <f>CEILING(B266/IF(A266 &lt;&gt; "",_xlfn.XLOOKUP(A266,'Master List'!$C$3:$C$2983,'Master List'!$E$3:$E$2983),1),0.25)+C266+D266+E266</f>
        <v>0</v>
      </c>
    </row>
    <row r="267" spans="7:7" x14ac:dyDescent="0.2">
      <c r="G267" s="55">
        <f>CEILING(B267/IF(A267 &lt;&gt; "",_xlfn.XLOOKUP(A267,'Master List'!$C$3:$C$2983,'Master List'!$E$3:$E$2983),1),0.25)+C267+D267+E267</f>
        <v>0</v>
      </c>
    </row>
    <row r="268" spans="7:7" x14ac:dyDescent="0.2">
      <c r="G268" s="55">
        <f>CEILING(B268/IF(A268 &lt;&gt; "",_xlfn.XLOOKUP(A268,'Master List'!$C$3:$C$2983,'Master List'!$E$3:$E$2983),1),0.25)+C268+D268+E268</f>
        <v>0</v>
      </c>
    </row>
    <row r="269" spans="7:7" x14ac:dyDescent="0.2">
      <c r="G269" s="55">
        <f>CEILING(B269/IF(A269 &lt;&gt; "",_xlfn.XLOOKUP(A269,'Master List'!$C$3:$C$2983,'Master List'!$E$3:$E$2983),1),0.25)+C269+D269+E269</f>
        <v>0</v>
      </c>
    </row>
    <row r="270" spans="7:7" x14ac:dyDescent="0.2">
      <c r="G270" s="55">
        <f>CEILING(B270/IF(A270 &lt;&gt; "",_xlfn.XLOOKUP(A270,'Master List'!$C$3:$C$2983,'Master List'!$E$3:$E$2983),1),0.25)+C270+D270+E270</f>
        <v>0</v>
      </c>
    </row>
    <row r="271" spans="7:7" x14ac:dyDescent="0.2">
      <c r="G271" s="55">
        <f>CEILING(B271/IF(A271 &lt;&gt; "",_xlfn.XLOOKUP(A271,'Master List'!$C$3:$C$2983,'Master List'!$E$3:$E$2983),1),0.25)+C271+D271+E271</f>
        <v>0</v>
      </c>
    </row>
    <row r="272" spans="7:7" x14ac:dyDescent="0.2">
      <c r="G272" s="55">
        <f>CEILING(B272/IF(A272 &lt;&gt; "",_xlfn.XLOOKUP(A272,'Master List'!$C$3:$C$2983,'Master List'!$E$3:$E$2983),1),0.25)+C272+D272+E272</f>
        <v>0</v>
      </c>
    </row>
    <row r="273" spans="7:7" x14ac:dyDescent="0.2">
      <c r="G273" s="55">
        <f>CEILING(B273/IF(A273 &lt;&gt; "",_xlfn.XLOOKUP(A273,'Master List'!$C$3:$C$2983,'Master List'!$E$3:$E$2983),1),0.25)+C273+D273+E273</f>
        <v>0</v>
      </c>
    </row>
    <row r="274" spans="7:7" x14ac:dyDescent="0.2">
      <c r="G274" s="55">
        <f>CEILING(B274/IF(A274 &lt;&gt; "",_xlfn.XLOOKUP(A274,'Master List'!$C$3:$C$2983,'Master List'!$E$3:$E$2983),1),0.25)+C274+D274+E274</f>
        <v>0</v>
      </c>
    </row>
    <row r="275" spans="7:7" x14ac:dyDescent="0.2">
      <c r="G275" s="55">
        <f>CEILING(B275/IF(A275 &lt;&gt; "",_xlfn.XLOOKUP(A275,'Master List'!$C$3:$C$2983,'Master List'!$E$3:$E$2983),1),0.25)+C275+D275+E275</f>
        <v>0</v>
      </c>
    </row>
    <row r="276" spans="7:7" x14ac:dyDescent="0.2">
      <c r="G276" s="55">
        <f>CEILING(B276/IF(A276 &lt;&gt; "",_xlfn.XLOOKUP(A276,'Master List'!$C$3:$C$2983,'Master List'!$E$3:$E$2983),1),0.25)+C276+D276+E276</f>
        <v>0</v>
      </c>
    </row>
    <row r="277" spans="7:7" x14ac:dyDescent="0.2">
      <c r="G277" s="55">
        <f>CEILING(B277/IF(A277 &lt;&gt; "",_xlfn.XLOOKUP(A277,'Master List'!$C$3:$C$2983,'Master List'!$E$3:$E$2983),1),0.25)+C277+D277+E277</f>
        <v>0</v>
      </c>
    </row>
    <row r="278" spans="7:7" x14ac:dyDescent="0.2">
      <c r="G278" s="55">
        <f>CEILING(B278/IF(A278 &lt;&gt; "",_xlfn.XLOOKUP(A278,'Master List'!$C$3:$C$2983,'Master List'!$E$3:$E$2983),1),0.25)+C278+D278+E278</f>
        <v>0</v>
      </c>
    </row>
    <row r="279" spans="7:7" x14ac:dyDescent="0.2">
      <c r="G279" s="55">
        <f>CEILING(B279/IF(A279 &lt;&gt; "",_xlfn.XLOOKUP(A279,'Master List'!$C$3:$C$2983,'Master List'!$E$3:$E$2983),1),0.25)+C279+D279+E279</f>
        <v>0</v>
      </c>
    </row>
    <row r="280" spans="7:7" x14ac:dyDescent="0.2">
      <c r="G280" s="55">
        <f>CEILING(B280/IF(A280 &lt;&gt; "",_xlfn.XLOOKUP(A280,'Master List'!$C$3:$C$2983,'Master List'!$E$3:$E$2983),1),0.25)+C280+D280+E280</f>
        <v>0</v>
      </c>
    </row>
    <row r="281" spans="7:7" x14ac:dyDescent="0.2">
      <c r="G281" s="55">
        <f>CEILING(B281/IF(A281 &lt;&gt; "",_xlfn.XLOOKUP(A281,'Master List'!$C$3:$C$2983,'Master List'!$E$3:$E$2983),1),0.25)+C281+D281+E281</f>
        <v>0</v>
      </c>
    </row>
    <row r="282" spans="7:7" x14ac:dyDescent="0.2">
      <c r="G282" s="55">
        <f>CEILING(B282/IF(A282 &lt;&gt; "",_xlfn.XLOOKUP(A282,'Master List'!$C$3:$C$2983,'Master List'!$E$3:$E$2983),1),0.25)+C282+D282+E282</f>
        <v>0</v>
      </c>
    </row>
    <row r="283" spans="7:7" x14ac:dyDescent="0.2">
      <c r="G283" s="55">
        <f>CEILING(B283/IF(A283 &lt;&gt; "",_xlfn.XLOOKUP(A283,'Master List'!$C$3:$C$2983,'Master List'!$E$3:$E$2983),1),0.25)+C283+D283+E283</f>
        <v>0</v>
      </c>
    </row>
    <row r="284" spans="7:7" x14ac:dyDescent="0.2">
      <c r="G284" s="55">
        <f>CEILING(B284/IF(A284 &lt;&gt; "",_xlfn.XLOOKUP(A284,'Master List'!$C$3:$C$2983,'Master List'!$E$3:$E$2983),1),0.25)+C284+D284+E284</f>
        <v>0</v>
      </c>
    </row>
    <row r="285" spans="7:7" x14ac:dyDescent="0.2">
      <c r="G285" s="55">
        <f>CEILING(B285/IF(A285 &lt;&gt; "",_xlfn.XLOOKUP(A285,'Master List'!$C$3:$C$2983,'Master List'!$E$3:$E$2983),1),0.25)+C285+D285+E285</f>
        <v>0</v>
      </c>
    </row>
    <row r="286" spans="7:7" x14ac:dyDescent="0.2">
      <c r="G286" s="55">
        <f>CEILING(B286/IF(A286 &lt;&gt; "",_xlfn.XLOOKUP(A286,'Master List'!$C$3:$C$2983,'Master List'!$E$3:$E$2983),1),0.25)+C286+D286+E286</f>
        <v>0</v>
      </c>
    </row>
    <row r="287" spans="7:7" x14ac:dyDescent="0.2">
      <c r="G287" s="55">
        <f>CEILING(B287/IF(A287 &lt;&gt; "",_xlfn.XLOOKUP(A287,'Master List'!$C$3:$C$2983,'Master List'!$E$3:$E$2983),1),0.25)+C287+D287+E287</f>
        <v>0</v>
      </c>
    </row>
    <row r="288" spans="7:7" x14ac:dyDescent="0.2">
      <c r="G288" s="55">
        <f>CEILING(B288/IF(A288 &lt;&gt; "",_xlfn.XLOOKUP(A288,'Master List'!$C$3:$C$2983,'Master List'!$E$3:$E$2983),1),0.25)+C288+D288+E288</f>
        <v>0</v>
      </c>
    </row>
    <row r="289" spans="7:7" x14ac:dyDescent="0.2">
      <c r="G289" s="55">
        <f>CEILING(B289/IF(A289 &lt;&gt; "",_xlfn.XLOOKUP(A289,'Master List'!$C$3:$C$2983,'Master List'!$E$3:$E$2983),1),0.25)+C289+D289+E289</f>
        <v>0</v>
      </c>
    </row>
    <row r="290" spans="7:7" x14ac:dyDescent="0.2">
      <c r="G290" s="55">
        <f>CEILING(B290/IF(A290 &lt;&gt; "",_xlfn.XLOOKUP(A290,'Master List'!$C$3:$C$2983,'Master List'!$E$3:$E$2983),1),0.25)+C290+D290+E290</f>
        <v>0</v>
      </c>
    </row>
    <row r="291" spans="7:7" x14ac:dyDescent="0.2">
      <c r="G291" s="55">
        <f>CEILING(B291/IF(A291 &lt;&gt; "",_xlfn.XLOOKUP(A291,'Master List'!$C$3:$C$2983,'Master List'!$E$3:$E$2983),1),0.25)+C291+D291+E291</f>
        <v>0</v>
      </c>
    </row>
    <row r="292" spans="7:7" x14ac:dyDescent="0.2">
      <c r="G292" s="55">
        <f>CEILING(B292/IF(A292 &lt;&gt; "",_xlfn.XLOOKUP(A292,'Master List'!$C$3:$C$2983,'Master List'!$E$3:$E$2983),1),0.25)+C292+D292+E292</f>
        <v>0</v>
      </c>
    </row>
    <row r="293" spans="7:7" x14ac:dyDescent="0.2">
      <c r="G293" s="55">
        <f>CEILING(B293/IF(A293 &lt;&gt; "",_xlfn.XLOOKUP(A293,'Master List'!$C$3:$C$2983,'Master List'!$E$3:$E$2983),1),0.25)+C293+D293+E293</f>
        <v>0</v>
      </c>
    </row>
    <row r="294" spans="7:7" x14ac:dyDescent="0.2">
      <c r="G294" s="55">
        <f>CEILING(B294/IF(A294 &lt;&gt; "",_xlfn.XLOOKUP(A294,'Master List'!$C$3:$C$2983,'Master List'!$E$3:$E$2983),1),0.25)+C294+D294+E294</f>
        <v>0</v>
      </c>
    </row>
    <row r="295" spans="7:7" x14ac:dyDescent="0.2">
      <c r="G295" s="55">
        <f>CEILING(B295/IF(A295 &lt;&gt; "",_xlfn.XLOOKUP(A295,'Master List'!$C$3:$C$2983,'Master List'!$E$3:$E$2983),1),0.25)+C295+D295+E295</f>
        <v>0</v>
      </c>
    </row>
    <row r="296" spans="7:7" x14ac:dyDescent="0.2">
      <c r="G296" s="55">
        <f>CEILING(B296/IF(A296 &lt;&gt; "",_xlfn.XLOOKUP(A296,'Master List'!$C$3:$C$2983,'Master List'!$E$3:$E$2983),1),0.25)+C296+D296+E296</f>
        <v>0</v>
      </c>
    </row>
    <row r="297" spans="7:7" x14ac:dyDescent="0.2">
      <c r="G297" s="55">
        <f>CEILING(B297/IF(A297 &lt;&gt; "",_xlfn.XLOOKUP(A297,'Master List'!$C$3:$C$2983,'Master List'!$E$3:$E$2983),1),0.25)+C297+D297+E297</f>
        <v>0</v>
      </c>
    </row>
    <row r="298" spans="7:7" x14ac:dyDescent="0.2">
      <c r="G298" s="55">
        <f>CEILING(B298/IF(A298 &lt;&gt; "",_xlfn.XLOOKUP(A298,'Master List'!$C$3:$C$2983,'Master List'!$E$3:$E$2983),1),0.25)+C298+D298+E298</f>
        <v>0</v>
      </c>
    </row>
    <row r="299" spans="7:7" x14ac:dyDescent="0.2">
      <c r="G299" s="55">
        <f>CEILING(B299/IF(A299 &lt;&gt; "",_xlfn.XLOOKUP(A299,'Master List'!$C$3:$C$2983,'Master List'!$E$3:$E$2983),1),0.25)+C299+D299+E299</f>
        <v>0</v>
      </c>
    </row>
    <row r="300" spans="7:7" x14ac:dyDescent="0.2">
      <c r="G300" s="55">
        <f>CEILING(B300/IF(A300 &lt;&gt; "",_xlfn.XLOOKUP(A300,'Master List'!$C$3:$C$2983,'Master List'!$E$3:$E$2983),1),0.25)+C300+D300+E300</f>
        <v>0</v>
      </c>
    </row>
  </sheetData>
  <pageMargins left="0.7" right="0.7" top="0.75" bottom="0.75" header="0.3" footer="0.3"/>
  <pageSetup scale="17"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4D8C3-5AED-4353-96B3-65E9485572CC}">
  <sheetPr codeName="Sheet5"/>
  <dimension ref="A1:D1"/>
  <sheetViews>
    <sheetView workbookViewId="0">
      <selection activeCell="D21" sqref="D21"/>
    </sheetView>
  </sheetViews>
  <sheetFormatPr defaultRowHeight="12.75" x14ac:dyDescent="0.2"/>
  <cols>
    <col min="1" max="1" width="4.1640625" bestFit="1" customWidth="1"/>
    <col min="2" max="2" width="7" bestFit="1" customWidth="1"/>
    <col min="3" max="3" width="23.5" bestFit="1" customWidth="1"/>
    <col min="4" max="4" width="35.1640625" bestFit="1" customWidth="1"/>
  </cols>
  <sheetData>
    <row r="1" spans="1:4" x14ac:dyDescent="0.2">
      <c r="A1" s="25" t="s">
        <v>1203</v>
      </c>
      <c r="B1" s="25" t="s">
        <v>1204</v>
      </c>
      <c r="C1" s="25" t="s">
        <v>1205</v>
      </c>
      <c r="D1" s="25" t="s">
        <v>1248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Master List</vt:lpstr>
      <vt:lpstr>Order</vt:lpstr>
      <vt:lpstr>OrderPrint</vt:lpstr>
      <vt:lpstr>OrderDatabase</vt:lpstr>
      <vt:lpstr>ShipDatabase</vt:lpstr>
      <vt:lpstr>CheckPrint</vt:lpstr>
      <vt:lpstr>Check</vt:lpstr>
      <vt:lpstr>Label</vt:lpstr>
      <vt:lpstr>On Deck</vt:lpstr>
      <vt:lpstr>Items on Deck</vt:lpstr>
      <vt:lpstr>Daily</vt:lpstr>
      <vt:lpstr>Needs</vt:lpstr>
      <vt:lpstr>Week</vt:lpstr>
      <vt:lpstr>'On Deck'!Extract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2024-04-17T02:49:07Z</dcterms:modified>
  <cp:category/>
  <cp:contentStatus/>
</cp:coreProperties>
</file>